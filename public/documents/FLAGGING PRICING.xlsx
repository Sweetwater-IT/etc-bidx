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unnn\Downloads\"/>
    </mc:Choice>
  </mc:AlternateContent>
  <xr:revisionPtr revIDLastSave="0" documentId="13_ncr:1_{676222C7-CADC-4677-AD48-96B968569788}" xr6:coauthVersionLast="47" xr6:coauthVersionMax="47" xr10:uidLastSave="{00000000-0000-0000-0000-000000000000}"/>
  <bookViews>
    <workbookView xWindow="28680" yWindow="-120" windowWidth="29040" windowHeight="15720" xr2:uid="{E524959D-EAAD-47D1-B3B1-80489FE5EB49}"/>
  </bookViews>
  <sheets>
    <sheet name="ETC NON-RATED PRICE LIST" sheetId="3" r:id="rId1"/>
    <sheet name="ETC RATED FLAGGING PRICE LIST" sheetId="1" r:id="rId2"/>
  </sheets>
  <definedNames>
    <definedName name="_xlnm._FilterDatabase" localSheetId="0" hidden="1">'ETC NON-RATED PRICE LIST'!$B$2:$M$70</definedName>
    <definedName name="_xlnm._FilterDatabase" localSheetId="1" hidden="1">'ETC RATED FLAGGING PRICE LIST'!$B$2:$O$70</definedName>
    <definedName name="_xlnm.Print_Area" localSheetId="0">'ETC NON-RATED PRICE LIST'!$B$1:$M$70</definedName>
    <definedName name="_xlnm.Print_Area" localSheetId="1">'ETC RATED FLAGGING PRICE LIST'!$B$1:$O$70</definedName>
    <definedName name="_xlnm.Print_Titles" localSheetId="0">'ETC NON-RATED PRICE LIST'!$1:$2</definedName>
    <definedName name="_xlnm.Print_Titles" localSheetId="1">'ETC RATED FLAGGING PRICE LIST'!$1:$2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1" l="1"/>
  <c r="O8" i="1"/>
  <c r="O13" i="1"/>
  <c r="O19" i="1"/>
  <c r="O21" i="1"/>
  <c r="O27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3" i="3"/>
  <c r="J4" i="3" l="1"/>
  <c r="J5" i="3"/>
  <c r="J6" i="3"/>
  <c r="J9" i="3"/>
  <c r="J11" i="3"/>
  <c r="J12" i="3"/>
  <c r="J13" i="3"/>
  <c r="J14" i="3"/>
  <c r="J15" i="3"/>
  <c r="J16" i="3"/>
  <c r="J17" i="3"/>
  <c r="J18" i="3"/>
  <c r="J20" i="3"/>
  <c r="J22" i="3"/>
  <c r="J23" i="3"/>
  <c r="J24" i="3"/>
  <c r="J25" i="3"/>
  <c r="J26" i="3"/>
  <c r="J28" i="3"/>
  <c r="J29" i="3"/>
  <c r="K29" i="3" s="1"/>
  <c r="J30" i="3"/>
  <c r="J31" i="3"/>
  <c r="J37" i="3"/>
  <c r="J46" i="3"/>
  <c r="J47" i="3"/>
  <c r="J48" i="3"/>
  <c r="J50" i="3"/>
  <c r="J51" i="3"/>
  <c r="J52" i="3"/>
  <c r="J53" i="3"/>
  <c r="J54" i="3"/>
  <c r="J55" i="3"/>
  <c r="J57" i="3"/>
  <c r="J60" i="3"/>
  <c r="J61" i="3"/>
  <c r="J62" i="3"/>
  <c r="J65" i="3"/>
  <c r="J66" i="3"/>
  <c r="J68" i="3"/>
  <c r="J70" i="3"/>
  <c r="J3" i="3"/>
  <c r="J69" i="3"/>
  <c r="J67" i="3"/>
  <c r="J64" i="3"/>
  <c r="J63" i="3"/>
  <c r="J59" i="3"/>
  <c r="J58" i="3"/>
  <c r="J56" i="3"/>
  <c r="J49" i="3"/>
  <c r="J45" i="3"/>
  <c r="J44" i="3"/>
  <c r="J43" i="3"/>
  <c r="J42" i="3"/>
  <c r="J41" i="3"/>
  <c r="J40" i="3"/>
  <c r="J39" i="3"/>
  <c r="J38" i="3"/>
  <c r="J36" i="3"/>
  <c r="J35" i="3"/>
  <c r="J34" i="3"/>
  <c r="J33" i="3"/>
  <c r="J32" i="3"/>
  <c r="J27" i="3"/>
  <c r="J21" i="3"/>
  <c r="J19" i="3"/>
  <c r="J10" i="3"/>
  <c r="J8" i="3"/>
  <c r="J7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L15" i="1" s="1"/>
  <c r="G16" i="1"/>
  <c r="G17" i="1"/>
  <c r="G18" i="1"/>
  <c r="G19" i="1"/>
  <c r="G20" i="1"/>
  <c r="G21" i="1"/>
  <c r="L21" i="1" s="1"/>
  <c r="G22" i="1"/>
  <c r="G23" i="1"/>
  <c r="G24" i="1"/>
  <c r="G25" i="1"/>
  <c r="G26" i="1"/>
  <c r="G27" i="1"/>
  <c r="L27" i="1" s="1"/>
  <c r="G28" i="1"/>
  <c r="G29" i="1"/>
  <c r="G30" i="1"/>
  <c r="G31" i="1"/>
  <c r="G32" i="1"/>
  <c r="G33" i="1"/>
  <c r="G34" i="1"/>
  <c r="G35" i="1"/>
  <c r="G36" i="1"/>
  <c r="G37" i="1"/>
  <c r="L37" i="1" s="1"/>
  <c r="G38" i="1"/>
  <c r="G39" i="1"/>
  <c r="L39" i="1" s="1"/>
  <c r="G40" i="1"/>
  <c r="G41" i="1"/>
  <c r="G42" i="1"/>
  <c r="G43" i="1"/>
  <c r="G44" i="1"/>
  <c r="G45" i="1"/>
  <c r="G46" i="1"/>
  <c r="G47" i="1"/>
  <c r="L47" i="1" s="1"/>
  <c r="N47" i="1" s="1"/>
  <c r="G48" i="1"/>
  <c r="G49" i="1"/>
  <c r="L49" i="1" s="1"/>
  <c r="G50" i="1"/>
  <c r="G51" i="1"/>
  <c r="L51" i="1" s="1"/>
  <c r="G52" i="1"/>
  <c r="G53" i="1"/>
  <c r="G54" i="1"/>
  <c r="G55" i="1"/>
  <c r="G56" i="1"/>
  <c r="G57" i="1"/>
  <c r="G58" i="1"/>
  <c r="G59" i="1"/>
  <c r="G60" i="1"/>
  <c r="G61" i="1"/>
  <c r="L61" i="1" s="1"/>
  <c r="G62" i="1"/>
  <c r="G63" i="1"/>
  <c r="L63" i="1" s="1"/>
  <c r="G64" i="1"/>
  <c r="G65" i="1"/>
  <c r="G66" i="1"/>
  <c r="L66" i="1" s="1"/>
  <c r="G67" i="1"/>
  <c r="G68" i="1"/>
  <c r="G69" i="1"/>
  <c r="G70" i="1"/>
  <c r="L38" i="1" l="1"/>
  <c r="N38" i="1" s="1"/>
  <c r="L36" i="1"/>
  <c r="N36" i="1" s="1"/>
  <c r="L26" i="1"/>
  <c r="N26" i="1" s="1"/>
  <c r="O26" i="1" s="1"/>
  <c r="L62" i="1"/>
  <c r="N62" i="1" s="1"/>
  <c r="L18" i="1"/>
  <c r="N18" i="1" s="1"/>
  <c r="O18" i="1" s="1"/>
  <c r="L5" i="1"/>
  <c r="N5" i="1" s="1"/>
  <c r="O5" i="1" s="1"/>
  <c r="L54" i="1"/>
  <c r="N54" i="1" s="1"/>
  <c r="L41" i="1"/>
  <c r="N41" i="1" s="1"/>
  <c r="L57" i="1"/>
  <c r="N57" i="1" s="1"/>
  <c r="L68" i="1"/>
  <c r="N68" i="1" s="1"/>
  <c r="L13" i="1"/>
  <c r="N13" i="1" s="1"/>
  <c r="L65" i="1"/>
  <c r="M65" i="1" s="1"/>
  <c r="L46" i="1"/>
  <c r="M46" i="1" s="1"/>
  <c r="L29" i="1"/>
  <c r="N29" i="1" s="1"/>
  <c r="O29" i="1" s="1"/>
  <c r="L10" i="1"/>
  <c r="N10" i="1" s="1"/>
  <c r="O10" i="1" s="1"/>
  <c r="L9" i="1"/>
  <c r="N9" i="1" s="1"/>
  <c r="O9" i="1" s="1"/>
  <c r="L45" i="1"/>
  <c r="N45" i="1" s="1"/>
  <c r="L44" i="1"/>
  <c r="N44" i="1" s="1"/>
  <c r="L25" i="1"/>
  <c r="M25" i="1" s="1"/>
  <c r="L8" i="1"/>
  <c r="N8" i="1" s="1"/>
  <c r="L60" i="1"/>
  <c r="N60" i="1" s="1"/>
  <c r="L42" i="1"/>
  <c r="N42" i="1" s="1"/>
  <c r="L24" i="1"/>
  <c r="N24" i="1" s="1"/>
  <c r="O24" i="1" s="1"/>
  <c r="L6" i="1"/>
  <c r="N6" i="1" s="1"/>
  <c r="O6" i="1" s="1"/>
  <c r="L58" i="1"/>
  <c r="N58" i="1" s="1"/>
  <c r="L22" i="1"/>
  <c r="N22" i="1" s="1"/>
  <c r="O22" i="1" s="1"/>
  <c r="L56" i="1"/>
  <c r="N56" i="1" s="1"/>
  <c r="L20" i="1"/>
  <c r="N20" i="1" s="1"/>
  <c r="O20" i="1" s="1"/>
  <c r="L70" i="1"/>
  <c r="N70" i="1" s="1"/>
  <c r="L53" i="1"/>
  <c r="N53" i="1" s="1"/>
  <c r="L34" i="1"/>
  <c r="N34" i="1" s="1"/>
  <c r="L17" i="1"/>
  <c r="M17" i="1" s="1"/>
  <c r="L69" i="1"/>
  <c r="M69" i="1" s="1"/>
  <c r="L50" i="1"/>
  <c r="N50" i="1" s="1"/>
  <c r="L33" i="1"/>
  <c r="N33" i="1" s="1"/>
  <c r="L14" i="1"/>
  <c r="N14" i="1" s="1"/>
  <c r="O14" i="1" s="1"/>
  <c r="L32" i="1"/>
  <c r="N32" i="1" s="1"/>
  <c r="L48" i="1"/>
  <c r="N48" i="1" s="1"/>
  <c r="L30" i="1"/>
  <c r="N30" i="1" s="1"/>
  <c r="O30" i="1" s="1"/>
  <c r="L12" i="1"/>
  <c r="N12" i="1" s="1"/>
  <c r="O12" i="1" s="1"/>
  <c r="L3" i="1"/>
  <c r="L4" i="1"/>
  <c r="N4" i="1" s="1"/>
  <c r="O4" i="1" s="1"/>
  <c r="L59" i="1"/>
  <c r="N59" i="1" s="1"/>
  <c r="L35" i="1"/>
  <c r="N35" i="1" s="1"/>
  <c r="L23" i="1"/>
  <c r="N23" i="1" s="1"/>
  <c r="O23" i="1" s="1"/>
  <c r="L11" i="1"/>
  <c r="N11" i="1" s="1"/>
  <c r="O11" i="1" s="1"/>
  <c r="L67" i="1"/>
  <c r="N67" i="1" s="1"/>
  <c r="L55" i="1"/>
  <c r="N55" i="1" s="1"/>
  <c r="L43" i="1"/>
  <c r="N43" i="1" s="1"/>
  <c r="L31" i="1"/>
  <c r="N31" i="1" s="1"/>
  <c r="O31" i="1" s="1"/>
  <c r="L19" i="1"/>
  <c r="N19" i="1" s="1"/>
  <c r="L7" i="1"/>
  <c r="N7" i="1" s="1"/>
  <c r="L64" i="1"/>
  <c r="N64" i="1" s="1"/>
  <c r="L52" i="1"/>
  <c r="N52" i="1" s="1"/>
  <c r="L40" i="1"/>
  <c r="N40" i="1" s="1"/>
  <c r="L28" i="1"/>
  <c r="N28" i="1" s="1"/>
  <c r="O28" i="1" s="1"/>
  <c r="L16" i="1"/>
  <c r="N16" i="1" s="1"/>
  <c r="O16" i="1" s="1"/>
  <c r="N66" i="1"/>
  <c r="N39" i="1"/>
  <c r="N51" i="1"/>
  <c r="N15" i="1"/>
  <c r="O15" i="1" s="1"/>
  <c r="N27" i="1"/>
  <c r="N63" i="1"/>
  <c r="N21" i="1"/>
  <c r="N49" i="1"/>
  <c r="N37" i="1"/>
  <c r="N61" i="1"/>
  <c r="M21" i="1"/>
  <c r="K14" i="3"/>
  <c r="L29" i="3"/>
  <c r="L53" i="3"/>
  <c r="L20" i="3"/>
  <c r="K20" i="3"/>
  <c r="L4" i="3"/>
  <c r="K4" i="3"/>
  <c r="L65" i="3"/>
  <c r="K65" i="3"/>
  <c r="M39" i="1"/>
  <c r="M47" i="1"/>
  <c r="M26" i="1" l="1"/>
  <c r="N69" i="1"/>
  <c r="N65" i="1"/>
  <c r="N25" i="1"/>
  <c r="O25" i="1" s="1"/>
  <c r="M53" i="1"/>
  <c r="M12" i="1"/>
  <c r="N17" i="1"/>
  <c r="O17" i="1" s="1"/>
  <c r="N46" i="1"/>
  <c r="M18" i="1"/>
  <c r="M70" i="1"/>
  <c r="M10" i="1"/>
  <c r="M37" i="1"/>
  <c r="M42" i="1"/>
  <c r="M28" i="1"/>
  <c r="M38" i="1"/>
  <c r="K24" i="3"/>
  <c r="L64" i="3"/>
  <c r="K53" i="3"/>
  <c r="K34" i="3"/>
  <c r="L48" i="3"/>
  <c r="L14" i="3"/>
  <c r="L49" i="3"/>
  <c r="K19" i="3"/>
  <c r="L7" i="3"/>
  <c r="L21" i="3"/>
  <c r="L32" i="3"/>
  <c r="L70" i="3"/>
  <c r="K70" i="3"/>
  <c r="L61" i="3"/>
  <c r="K61" i="3"/>
  <c r="L59" i="3"/>
  <c r="K59" i="3"/>
  <c r="L62" i="3"/>
  <c r="K62" i="3"/>
  <c r="L31" i="3"/>
  <c r="K31" i="3"/>
  <c r="L30" i="3"/>
  <c r="K30" i="3"/>
  <c r="L69" i="3"/>
  <c r="K69" i="3"/>
  <c r="K27" i="3"/>
  <c r="L27" i="3"/>
  <c r="L16" i="3"/>
  <c r="K16" i="3"/>
  <c r="L67" i="3"/>
  <c r="K67" i="3"/>
  <c r="L51" i="3"/>
  <c r="K51" i="3"/>
  <c r="L15" i="3"/>
  <c r="K15" i="3"/>
  <c r="K26" i="3"/>
  <c r="L26" i="3"/>
  <c r="K12" i="3"/>
  <c r="L12" i="3"/>
  <c r="L9" i="3"/>
  <c r="K9" i="3"/>
  <c r="L60" i="3"/>
  <c r="K60" i="3"/>
  <c r="L63" i="3"/>
  <c r="K63" i="3"/>
  <c r="L66" i="3"/>
  <c r="K66" i="3"/>
  <c r="K55" i="3"/>
  <c r="L55" i="3"/>
  <c r="L47" i="3"/>
  <c r="K47" i="3"/>
  <c r="L5" i="3"/>
  <c r="K5" i="3"/>
  <c r="L58" i="3"/>
  <c r="K58" i="3"/>
  <c r="K3" i="3"/>
  <c r="L3" i="3"/>
  <c r="K18" i="3"/>
  <c r="L18" i="3"/>
  <c r="L22" i="3"/>
  <c r="K22" i="3"/>
  <c r="L11" i="3"/>
  <c r="K11" i="3"/>
  <c r="M34" i="1"/>
  <c r="M52" i="1"/>
  <c r="M50" i="1"/>
  <c r="M40" i="1"/>
  <c r="M45" i="1"/>
  <c r="M6" i="1"/>
  <c r="M49" i="1"/>
  <c r="M54" i="1"/>
  <c r="M55" i="1"/>
  <c r="M51" i="1"/>
  <c r="M8" i="1"/>
  <c r="M23" i="1"/>
  <c r="M57" i="1"/>
  <c r="M30" i="1"/>
  <c r="M62" i="1"/>
  <c r="M5" i="1"/>
  <c r="M41" i="1"/>
  <c r="M64" i="1"/>
  <c r="M11" i="1"/>
  <c r="M22" i="1"/>
  <c r="M4" i="1"/>
  <c r="M61" i="1"/>
  <c r="M16" i="1"/>
  <c r="M56" i="1"/>
  <c r="M9" i="1"/>
  <c r="M15" i="1"/>
  <c r="M3" i="1"/>
  <c r="N3" i="1"/>
  <c r="O3" i="1" s="1"/>
  <c r="M24" i="1"/>
  <c r="M33" i="1"/>
  <c r="M43" i="1"/>
  <c r="M13" i="1"/>
  <c r="M44" i="1"/>
  <c r="M36" i="1"/>
  <c r="M35" i="1"/>
  <c r="M20" i="1"/>
  <c r="M31" i="1" l="1"/>
  <c r="M63" i="1"/>
  <c r="M68" i="1"/>
  <c r="M19" i="1"/>
  <c r="L24" i="3"/>
  <c r="K49" i="3"/>
  <c r="L34" i="3"/>
  <c r="K7" i="3"/>
  <c r="K48" i="3"/>
  <c r="L19" i="3"/>
  <c r="K64" i="3"/>
  <c r="K32" i="3"/>
  <c r="K21" i="3"/>
  <c r="L41" i="3"/>
  <c r="K41" i="3"/>
  <c r="K23" i="3"/>
  <c r="L23" i="3"/>
  <c r="L42" i="3"/>
  <c r="K42" i="3"/>
  <c r="L36" i="3"/>
  <c r="K36" i="3"/>
  <c r="L68" i="3"/>
  <c r="K68" i="3"/>
  <c r="L13" i="3"/>
  <c r="K13" i="3"/>
  <c r="K50" i="3"/>
  <c r="L50" i="3"/>
  <c r="L28" i="3"/>
  <c r="K28" i="3"/>
  <c r="L40" i="3"/>
  <c r="K40" i="3"/>
  <c r="L17" i="3"/>
  <c r="K17" i="3"/>
  <c r="K8" i="3"/>
  <c r="L8" i="3"/>
  <c r="L54" i="3"/>
  <c r="K54" i="3"/>
  <c r="L37" i="3"/>
  <c r="K37" i="3"/>
  <c r="L57" i="3"/>
  <c r="K57" i="3"/>
  <c r="K46" i="3"/>
  <c r="L46" i="3"/>
  <c r="L39" i="3"/>
  <c r="K39" i="3"/>
  <c r="L45" i="3"/>
  <c r="K45" i="3"/>
  <c r="L38" i="3"/>
  <c r="K38" i="3"/>
  <c r="L44" i="3"/>
  <c r="K44" i="3"/>
  <c r="K56" i="3"/>
  <c r="L56" i="3"/>
  <c r="L43" i="3"/>
  <c r="K43" i="3"/>
  <c r="L33" i="3"/>
  <c r="K33" i="3"/>
  <c r="L10" i="3"/>
  <c r="K10" i="3"/>
  <c r="L25" i="3"/>
  <c r="K25" i="3"/>
  <c r="L52" i="3"/>
  <c r="K52" i="3"/>
  <c r="K6" i="3"/>
  <c r="L6" i="3"/>
  <c r="L35" i="3"/>
  <c r="K35" i="3"/>
  <c r="M32" i="1"/>
  <c r="M66" i="1"/>
  <c r="M29" i="1"/>
  <c r="M67" i="1"/>
  <c r="M59" i="1"/>
  <c r="M27" i="1"/>
  <c r="M58" i="1"/>
  <c r="M60" i="1"/>
  <c r="M48" i="1"/>
  <c r="M14" i="1"/>
  <c r="M7" i="1"/>
</calcChain>
</file>

<file path=xl/sharedStrings.xml><?xml version="1.0" encoding="utf-8"?>
<sst xmlns="http://schemas.openxmlformats.org/spreadsheetml/2006/main" count="442" uniqueCount="92">
  <si>
    <t>Turbotville</t>
  </si>
  <si>
    <t>York</t>
  </si>
  <si>
    <t>Wyoming</t>
  </si>
  <si>
    <t>MOBILIZATION</t>
  </si>
  <si>
    <t>Wayne</t>
  </si>
  <si>
    <t>LOCAL</t>
  </si>
  <si>
    <t>Union</t>
  </si>
  <si>
    <t>Tioga</t>
  </si>
  <si>
    <t>Susquehanna</t>
  </si>
  <si>
    <t>CORE</t>
  </si>
  <si>
    <t>Sullivan</t>
  </si>
  <si>
    <t>Snyder</t>
  </si>
  <si>
    <t>Potter</t>
  </si>
  <si>
    <t>Pike</t>
  </si>
  <si>
    <t>Perry</t>
  </si>
  <si>
    <t>Northumberland</t>
  </si>
  <si>
    <t>Montour</t>
  </si>
  <si>
    <t>Mifflin</t>
  </si>
  <si>
    <t>Lycoming</t>
  </si>
  <si>
    <t>Luzerne</t>
  </si>
  <si>
    <t>Lackawanna</t>
  </si>
  <si>
    <t>Juniata</t>
  </si>
  <si>
    <t>Franklin</t>
  </si>
  <si>
    <t>Dauphin</t>
  </si>
  <si>
    <t>Cumberland</t>
  </si>
  <si>
    <t>Columbia</t>
  </si>
  <si>
    <t>Clinton</t>
  </si>
  <si>
    <t>Centre</t>
  </si>
  <si>
    <t>Bradford</t>
  </si>
  <si>
    <t>Hatfield</t>
  </si>
  <si>
    <t>Schuylkill</t>
  </si>
  <si>
    <t>Philadelphia</t>
  </si>
  <si>
    <t>Northhampton</t>
  </si>
  <si>
    <t>Montgomery</t>
  </si>
  <si>
    <t>Monroe</t>
  </si>
  <si>
    <t>Lehigh</t>
  </si>
  <si>
    <t>Lebanon</t>
  </si>
  <si>
    <t>Lancaster</t>
  </si>
  <si>
    <t>Federal District 6</t>
  </si>
  <si>
    <t>Delaware</t>
  </si>
  <si>
    <t>Chester</t>
  </si>
  <si>
    <t>Carbon</t>
  </si>
  <si>
    <t>Bucks</t>
  </si>
  <si>
    <t>Berks</t>
  </si>
  <si>
    <t>Bedford</t>
  </si>
  <si>
    <t>Westmoreland</t>
  </si>
  <si>
    <t>Washington</t>
  </si>
  <si>
    <t>Warren</t>
  </si>
  <si>
    <t>Venango</t>
  </si>
  <si>
    <t>Somerset</t>
  </si>
  <si>
    <t>Mercer</t>
  </si>
  <si>
    <t>McKean</t>
  </si>
  <si>
    <t>Lawrence</t>
  </si>
  <si>
    <t>Jefferson</t>
  </si>
  <si>
    <t>Indiana</t>
  </si>
  <si>
    <t>Huntington</t>
  </si>
  <si>
    <t>Greene</t>
  </si>
  <si>
    <t>Fulton</t>
  </si>
  <si>
    <t>Forest</t>
  </si>
  <si>
    <t>Fayette</t>
  </si>
  <si>
    <t>Erie</t>
  </si>
  <si>
    <t>Elk</t>
  </si>
  <si>
    <t>Crawford</t>
  </si>
  <si>
    <t>Clearfield</t>
  </si>
  <si>
    <t>Clarion</t>
  </si>
  <si>
    <t>Cameron</t>
  </si>
  <si>
    <t>Cambria</t>
  </si>
  <si>
    <t>Butler</t>
  </si>
  <si>
    <t>Blair</t>
  </si>
  <si>
    <t>Beaver</t>
  </si>
  <si>
    <t>Armstrong</t>
  </si>
  <si>
    <t>Alleghany</t>
  </si>
  <si>
    <t>Adams</t>
  </si>
  <si>
    <t>1 PERSON HOURLY OT RATE</t>
  </si>
  <si>
    <t>1 PERSON HOURLY RATE</t>
  </si>
  <si>
    <t>2 PERSON LUMP SUM</t>
  </si>
  <si>
    <t>1 PERSON LUMP SUM</t>
  </si>
  <si>
    <t>GROSS MARGIN</t>
  </si>
  <si>
    <t>FUEL</t>
  </si>
  <si>
    <t>TRUCK DISPATCH</t>
  </si>
  <si>
    <t>INSURANCE</t>
  </si>
  <si>
    <t>TOTAL RATE</t>
  </si>
  <si>
    <t>FRINGE</t>
  </si>
  <si>
    <t>BASE</t>
  </si>
  <si>
    <t>MARKET</t>
  </si>
  <si>
    <t>BRANCH</t>
  </si>
  <si>
    <t>Location</t>
  </si>
  <si>
    <t>PRICING</t>
  </si>
  <si>
    <t>COST INPUTS</t>
  </si>
  <si>
    <t>WAGE RATES</t>
  </si>
  <si>
    <t>BRANCH DATA</t>
  </si>
  <si>
    <t>FLAGGING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</si>
</sst>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ptos Narrow"/>
      <family val="2"/>
      <scheme val="minor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44" fontId="2" fillId="0" borderId="1" xfId="1" applyFont="1" applyBorder="1"/>
    <xf numFmtId="44" fontId="3" fillId="0" borderId="1" xfId="1" applyFont="1" applyBorder="1"/>
    <xf numFmtId="44" fontId="3" fillId="0" borderId="1" xfId="1" applyFont="1" applyFill="1" applyBorder="1"/>
    <xf numFmtId="44" fontId="3" fillId="0" borderId="2" xfId="0" applyNumberFormat="1" applyFont="1" applyBorder="1"/>
    <xf numFmtId="44" fontId="3" fillId="0" borderId="1" xfId="0" applyNumberFormat="1" applyFont="1" applyBorder="1"/>
    <xf numFmtId="0" fontId="3" fillId="0" borderId="1" xfId="0" applyFont="1" applyBorder="1"/>
    <xf numFmtId="44" fontId="2" fillId="5" borderId="1" xfId="1" applyFont="1" applyFill="1" applyBorder="1"/>
    <xf numFmtId="9" fontId="2" fillId="5" borderId="1" xfId="2" applyFont="1" applyFill="1" applyBorder="1"/>
    <xf numFmtId="0" fontId="5" fillId="4" borderId="4" xfId="0" applyFont="1" applyFill="1" applyBorder="1" applyAlignment="1">
      <alignment horizontal="center" vertical="center"/>
    </xf>
    <xf numFmtId="0" fontId="3" fillId="0" borderId="7" xfId="0" applyFont="1" applyBorder="1"/>
    <xf numFmtId="44" fontId="3" fillId="0" borderId="8" xfId="0" applyNumberFormat="1" applyFont="1" applyBorder="1"/>
    <xf numFmtId="0" fontId="4" fillId="0" borderId="7" xfId="0" applyFont="1" applyBorder="1"/>
    <xf numFmtId="44" fontId="2" fillId="0" borderId="9" xfId="1" applyFont="1" applyBorder="1"/>
    <xf numFmtId="0" fontId="4" fillId="0" borderId="10" xfId="0" applyFont="1" applyBorder="1"/>
    <xf numFmtId="44" fontId="3" fillId="0" borderId="11" xfId="1" applyFont="1" applyBorder="1"/>
    <xf numFmtId="44" fontId="2" fillId="5" borderId="11" xfId="1" applyFont="1" applyFill="1" applyBorder="1"/>
    <xf numFmtId="44" fontId="2" fillId="0" borderId="11" xfId="1" applyFont="1" applyBorder="1"/>
    <xf numFmtId="0" fontId="6" fillId="0" borderId="7" xfId="0" applyFont="1" applyBorder="1"/>
    <xf numFmtId="0" fontId="6" fillId="0" borderId="1" xfId="0" applyFont="1" applyBorder="1"/>
    <xf numFmtId="44" fontId="6" fillId="0" borderId="1" xfId="0" applyNumberFormat="1" applyFont="1" applyBorder="1"/>
    <xf numFmtId="0" fontId="7" fillId="0" borderId="1" xfId="0" applyFont="1" applyBorder="1"/>
    <xf numFmtId="44" fontId="6" fillId="0" borderId="2" xfId="0" applyNumberFormat="1" applyFont="1" applyBorder="1"/>
    <xf numFmtId="44" fontId="6" fillId="0" borderId="8" xfId="0" applyNumberFormat="1" applyFont="1" applyBorder="1"/>
    <xf numFmtId="0" fontId="8" fillId="0" borderId="7" xfId="0" applyFont="1" applyBorder="1"/>
    <xf numFmtId="44" fontId="6" fillId="0" borderId="1" xfId="1" applyFont="1" applyBorder="1"/>
    <xf numFmtId="44" fontId="7" fillId="5" borderId="1" xfId="1" applyFont="1" applyFill="1" applyBorder="1"/>
    <xf numFmtId="44" fontId="7" fillId="0" borderId="1" xfId="1" applyFont="1" applyBorder="1"/>
    <xf numFmtId="9" fontId="7" fillId="5" borderId="1" xfId="2" applyFont="1" applyFill="1" applyBorder="1"/>
    <xf numFmtId="44" fontId="7" fillId="0" borderId="9" xfId="1" applyFont="1" applyBorder="1"/>
    <xf numFmtId="44" fontId="6" fillId="0" borderId="1" xfId="1" applyFont="1" applyFill="1" applyBorder="1"/>
    <xf numFmtId="44" fontId="6" fillId="5" borderId="1" xfId="1" applyFont="1" applyFill="1" applyBorder="1"/>
    <xf numFmtId="0" fontId="8" fillId="0" borderId="10" xfId="0" applyFont="1" applyBorder="1"/>
    <xf numFmtId="44" fontId="6" fillId="0" borderId="11" xfId="1" applyFont="1" applyBorder="1"/>
    <xf numFmtId="44" fontId="7" fillId="5" borderId="11" xfId="1" applyFont="1" applyFill="1" applyBorder="1"/>
    <xf numFmtId="44" fontId="7" fillId="0" borderId="11" xfId="1" applyFont="1" applyBorder="1"/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44" fontId="1" fillId="0" borderId="0" xfId="0" applyNumberFormat="1" applyFont="1"/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DC7A-BF48-4385-BFF9-5F80C7634668}">
  <sheetPr codeName="Sheet1">
    <tabColor rgb="FFFF0000"/>
    <pageSetUpPr fitToPage="1"/>
  </sheetPr>
  <dimension ref="B1:N1001"/>
  <sheetViews>
    <sheetView tabSelected="1" view="pageBreakPreview" zoomScale="60" zoomScaleNormal="70" workbookViewId="0">
      <selection activeCell="J10" sqref="J10"/>
    </sheetView>
  </sheetViews>
  <sheetFormatPr defaultColWidth="14.42578125" defaultRowHeight="15" customHeight="1" outlineLevelCol="1" x14ac:dyDescent="0.25"/>
  <cols>
    <col min="2" max="2" width="18.7109375" bestFit="1" customWidth="1"/>
    <col min="3" max="3" width="13.5703125" hidden="1" customWidth="1" outlineLevel="1"/>
    <col min="4" max="4" width="19.5703125" hidden="1" customWidth="1" outlineLevel="1"/>
    <col min="5" max="5" width="20.7109375" customWidth="1" collapsed="1"/>
    <col min="6" max="6" width="18.28515625" hidden="1" customWidth="1" outlineLevel="1"/>
    <col min="7" max="7" width="25" hidden="1" customWidth="1" outlineLevel="1"/>
    <col min="8" max="8" width="13.42578125" hidden="1" customWidth="1" outlineLevel="1"/>
    <col min="9" max="9" width="19.85546875" customWidth="1" collapsed="1"/>
    <col min="10" max="10" width="24.7109375" customWidth="1"/>
    <col min="11" max="11" width="26.5703125" customWidth="1"/>
    <col min="12" max="12" width="29.42578125" customWidth="1"/>
    <col min="13" max="13" width="40.42578125" bestFit="1" customWidth="1"/>
  </cols>
  <sheetData>
    <row r="1" spans="2:14" ht="39.950000000000003" customHeight="1" thickTop="1" x14ac:dyDescent="0.25">
      <c r="B1" s="36" t="s">
        <v>90</v>
      </c>
      <c r="C1" s="37"/>
      <c r="D1" s="37"/>
      <c r="E1" s="9" t="s">
        <v>89</v>
      </c>
      <c r="F1" s="38" t="s">
        <v>88</v>
      </c>
      <c r="G1" s="38"/>
      <c r="H1" s="38"/>
      <c r="I1" s="39" t="s">
        <v>87</v>
      </c>
      <c r="J1" s="39"/>
      <c r="K1" s="39"/>
      <c r="L1" s="39"/>
      <c r="M1" s="40"/>
    </row>
    <row r="2" spans="2:14" ht="16.5" customHeight="1" x14ac:dyDescent="0.25">
      <c r="B2" s="10" t="s">
        <v>86</v>
      </c>
      <c r="C2" s="6" t="s">
        <v>85</v>
      </c>
      <c r="D2" s="6" t="s">
        <v>84</v>
      </c>
      <c r="E2" s="5" t="s">
        <v>91</v>
      </c>
      <c r="F2" s="4" t="s">
        <v>80</v>
      </c>
      <c r="G2" s="4" t="s">
        <v>79</v>
      </c>
      <c r="H2" s="4" t="s">
        <v>78</v>
      </c>
      <c r="I2" s="4" t="s">
        <v>77</v>
      </c>
      <c r="J2" s="4" t="s">
        <v>76</v>
      </c>
      <c r="K2" s="4" t="s">
        <v>75</v>
      </c>
      <c r="L2" s="4" t="s">
        <v>74</v>
      </c>
      <c r="M2" s="11" t="s">
        <v>73</v>
      </c>
    </row>
    <row r="3" spans="2:14" ht="20.100000000000001" customHeight="1" x14ac:dyDescent="0.25">
      <c r="B3" s="12" t="s">
        <v>72</v>
      </c>
      <c r="C3" s="2" t="s">
        <v>44</v>
      </c>
      <c r="D3" s="2" t="s">
        <v>3</v>
      </c>
      <c r="E3" s="7">
        <v>21</v>
      </c>
      <c r="F3" s="1">
        <v>12.5</v>
      </c>
      <c r="G3" s="1">
        <v>18.75</v>
      </c>
      <c r="H3" s="1">
        <v>7.5</v>
      </c>
      <c r="I3" s="8">
        <v>0.5</v>
      </c>
      <c r="J3" s="1">
        <f>IF(D3="mobilization",(E3*8)/(1-I3)+SUM(F3:H3)+175,(E3*8)/(1-I3)+SUM(F3:H3))</f>
        <v>549.75</v>
      </c>
      <c r="K3" s="1">
        <f t="shared" ref="K3:K34" si="0">J3*2</f>
        <v>1099.5</v>
      </c>
      <c r="L3" s="1">
        <f t="shared" ref="L3:L34" si="1">J3/8</f>
        <v>68.71875</v>
      </c>
      <c r="M3" s="13">
        <f>+L3*1.25</f>
        <v>85.8984375</v>
      </c>
      <c r="N3" s="44"/>
    </row>
    <row r="4" spans="2:14" ht="20.100000000000001" customHeight="1" x14ac:dyDescent="0.25">
      <c r="B4" s="12" t="s">
        <v>71</v>
      </c>
      <c r="C4" s="2" t="s">
        <v>44</v>
      </c>
      <c r="D4" s="2" t="s">
        <v>3</v>
      </c>
      <c r="E4" s="7">
        <v>21</v>
      </c>
      <c r="F4" s="1">
        <v>12.5</v>
      </c>
      <c r="G4" s="1">
        <v>18.75</v>
      </c>
      <c r="H4" s="1">
        <v>12.5</v>
      </c>
      <c r="I4" s="8">
        <v>0.5</v>
      </c>
      <c r="J4" s="1">
        <f t="shared" ref="J4:J67" si="2">IF(D4="mobilization",(E4*8)/(1-I4)+SUM(F4:H4)+175,(E4*8)/(1-I4)+SUM(F4:H4))</f>
        <v>554.75</v>
      </c>
      <c r="K4" s="1">
        <f t="shared" si="0"/>
        <v>1109.5</v>
      </c>
      <c r="L4" s="1">
        <f t="shared" si="1"/>
        <v>69.34375</v>
      </c>
      <c r="M4" s="13">
        <f t="shared" ref="M4:M67" si="3">+L4*1.25</f>
        <v>86.6796875</v>
      </c>
      <c r="N4" s="44"/>
    </row>
    <row r="5" spans="2:14" ht="20.100000000000001" customHeight="1" x14ac:dyDescent="0.25">
      <c r="B5" s="12" t="s">
        <v>70</v>
      </c>
      <c r="C5" s="2" t="s">
        <v>44</v>
      </c>
      <c r="D5" s="2" t="s">
        <v>3</v>
      </c>
      <c r="E5" s="7">
        <v>21</v>
      </c>
      <c r="F5" s="1">
        <v>12.5</v>
      </c>
      <c r="G5" s="1">
        <v>18.75</v>
      </c>
      <c r="H5" s="1">
        <v>12.5</v>
      </c>
      <c r="I5" s="8">
        <v>0.5</v>
      </c>
      <c r="J5" s="1">
        <f t="shared" si="2"/>
        <v>554.75</v>
      </c>
      <c r="K5" s="1">
        <f t="shared" si="0"/>
        <v>1109.5</v>
      </c>
      <c r="L5" s="1">
        <f t="shared" si="1"/>
        <v>69.34375</v>
      </c>
      <c r="M5" s="13">
        <f t="shared" si="3"/>
        <v>86.6796875</v>
      </c>
      <c r="N5" s="44"/>
    </row>
    <row r="6" spans="2:14" ht="20.100000000000001" customHeight="1" x14ac:dyDescent="0.25">
      <c r="B6" s="12" t="s">
        <v>69</v>
      </c>
      <c r="C6" s="2" t="s">
        <v>44</v>
      </c>
      <c r="D6" s="2" t="s">
        <v>3</v>
      </c>
      <c r="E6" s="7">
        <v>21</v>
      </c>
      <c r="F6" s="1">
        <v>12.5</v>
      </c>
      <c r="G6" s="1">
        <v>18.75</v>
      </c>
      <c r="H6" s="1">
        <v>12.5</v>
      </c>
      <c r="I6" s="8">
        <v>0.5</v>
      </c>
      <c r="J6" s="1">
        <f t="shared" si="2"/>
        <v>554.75</v>
      </c>
      <c r="K6" s="1">
        <f t="shared" si="0"/>
        <v>1109.5</v>
      </c>
      <c r="L6" s="1">
        <f t="shared" si="1"/>
        <v>69.34375</v>
      </c>
      <c r="M6" s="13">
        <f t="shared" si="3"/>
        <v>86.6796875</v>
      </c>
      <c r="N6" s="44"/>
    </row>
    <row r="7" spans="2:14" ht="20.100000000000001" customHeight="1" x14ac:dyDescent="0.25">
      <c r="B7" s="12" t="s">
        <v>44</v>
      </c>
      <c r="C7" s="2" t="s">
        <v>44</v>
      </c>
      <c r="D7" s="2" t="s">
        <v>5</v>
      </c>
      <c r="E7" s="7">
        <v>21</v>
      </c>
      <c r="F7" s="1">
        <v>12.5</v>
      </c>
      <c r="G7" s="1">
        <v>18.75</v>
      </c>
      <c r="H7" s="1">
        <v>5</v>
      </c>
      <c r="I7" s="8">
        <v>0.5</v>
      </c>
      <c r="J7" s="1">
        <f t="shared" si="2"/>
        <v>372.25</v>
      </c>
      <c r="K7" s="1">
        <f t="shared" si="0"/>
        <v>744.5</v>
      </c>
      <c r="L7" s="1">
        <f t="shared" si="1"/>
        <v>46.53125</v>
      </c>
      <c r="M7" s="13">
        <f t="shared" si="3"/>
        <v>58.1640625</v>
      </c>
      <c r="N7" s="44"/>
    </row>
    <row r="8" spans="2:14" ht="20.100000000000001" customHeight="1" x14ac:dyDescent="0.25">
      <c r="B8" s="12" t="s">
        <v>68</v>
      </c>
      <c r="C8" s="2" t="s">
        <v>44</v>
      </c>
      <c r="D8" s="2" t="s">
        <v>5</v>
      </c>
      <c r="E8" s="7">
        <v>21</v>
      </c>
      <c r="F8" s="1">
        <v>12.5</v>
      </c>
      <c r="G8" s="1">
        <v>18.75</v>
      </c>
      <c r="H8" s="1">
        <v>5</v>
      </c>
      <c r="I8" s="8">
        <v>0.5</v>
      </c>
      <c r="J8" s="1">
        <f t="shared" si="2"/>
        <v>372.25</v>
      </c>
      <c r="K8" s="1">
        <f t="shared" si="0"/>
        <v>744.5</v>
      </c>
      <c r="L8" s="1">
        <f t="shared" si="1"/>
        <v>46.53125</v>
      </c>
      <c r="M8" s="13">
        <f t="shared" si="3"/>
        <v>58.1640625</v>
      </c>
      <c r="N8" s="44"/>
    </row>
    <row r="9" spans="2:14" ht="20.100000000000001" customHeight="1" x14ac:dyDescent="0.25">
      <c r="B9" s="12" t="s">
        <v>67</v>
      </c>
      <c r="C9" s="2" t="s">
        <v>44</v>
      </c>
      <c r="D9" s="2" t="s">
        <v>3</v>
      </c>
      <c r="E9" s="7">
        <v>21</v>
      </c>
      <c r="F9" s="1">
        <v>12.5</v>
      </c>
      <c r="G9" s="1">
        <v>18.75</v>
      </c>
      <c r="H9" s="1">
        <v>12.5</v>
      </c>
      <c r="I9" s="8">
        <v>0.5</v>
      </c>
      <c r="J9" s="1">
        <f t="shared" si="2"/>
        <v>554.75</v>
      </c>
      <c r="K9" s="1">
        <f t="shared" si="0"/>
        <v>1109.5</v>
      </c>
      <c r="L9" s="1">
        <f t="shared" si="1"/>
        <v>69.34375</v>
      </c>
      <c r="M9" s="13">
        <f t="shared" si="3"/>
        <v>86.6796875</v>
      </c>
      <c r="N9" s="44"/>
    </row>
    <row r="10" spans="2:14" ht="20.100000000000001" customHeight="1" x14ac:dyDescent="0.25">
      <c r="B10" s="12" t="s">
        <v>66</v>
      </c>
      <c r="C10" s="2" t="s">
        <v>44</v>
      </c>
      <c r="D10" s="2" t="s">
        <v>5</v>
      </c>
      <c r="E10" s="7">
        <v>21</v>
      </c>
      <c r="F10" s="1">
        <v>12.5</v>
      </c>
      <c r="G10" s="1">
        <v>18.75</v>
      </c>
      <c r="H10" s="1">
        <v>5</v>
      </c>
      <c r="I10" s="8">
        <v>0.5</v>
      </c>
      <c r="J10" s="1">
        <f t="shared" si="2"/>
        <v>372.25</v>
      </c>
      <c r="K10" s="1">
        <f t="shared" si="0"/>
        <v>744.5</v>
      </c>
      <c r="L10" s="1">
        <f t="shared" si="1"/>
        <v>46.53125</v>
      </c>
      <c r="M10" s="13">
        <f t="shared" si="3"/>
        <v>58.1640625</v>
      </c>
      <c r="N10" s="44"/>
    </row>
    <row r="11" spans="2:14" ht="20.100000000000001" customHeight="1" x14ac:dyDescent="0.25">
      <c r="B11" s="12" t="s">
        <v>65</v>
      </c>
      <c r="C11" s="2" t="s">
        <v>44</v>
      </c>
      <c r="D11" s="2" t="s">
        <v>3</v>
      </c>
      <c r="E11" s="7">
        <v>21</v>
      </c>
      <c r="F11" s="1">
        <v>12.5</v>
      </c>
      <c r="G11" s="1">
        <v>18.75</v>
      </c>
      <c r="H11" s="1">
        <v>12.5</v>
      </c>
      <c r="I11" s="8">
        <v>0.55000000000000004</v>
      </c>
      <c r="J11" s="1">
        <f t="shared" si="2"/>
        <v>592.08333333333337</v>
      </c>
      <c r="K11" s="1">
        <f t="shared" si="0"/>
        <v>1184.1666666666667</v>
      </c>
      <c r="L11" s="1">
        <f t="shared" si="1"/>
        <v>74.010416666666671</v>
      </c>
      <c r="M11" s="13">
        <f t="shared" si="3"/>
        <v>92.513020833333343</v>
      </c>
      <c r="N11" s="44"/>
    </row>
    <row r="12" spans="2:14" ht="20.100000000000001" customHeight="1" x14ac:dyDescent="0.25">
      <c r="B12" s="12" t="s">
        <v>64</v>
      </c>
      <c r="C12" s="3" t="s">
        <v>44</v>
      </c>
      <c r="D12" s="2" t="s">
        <v>3</v>
      </c>
      <c r="E12" s="7">
        <v>21</v>
      </c>
      <c r="F12" s="1">
        <v>12.5</v>
      </c>
      <c r="G12" s="1">
        <v>18.75</v>
      </c>
      <c r="H12" s="1">
        <v>12.5</v>
      </c>
      <c r="I12" s="8">
        <v>0.55000000000000004</v>
      </c>
      <c r="J12" s="1">
        <f t="shared" si="2"/>
        <v>592.08333333333337</v>
      </c>
      <c r="K12" s="1">
        <f t="shared" si="0"/>
        <v>1184.1666666666667</v>
      </c>
      <c r="L12" s="1">
        <f t="shared" si="1"/>
        <v>74.010416666666671</v>
      </c>
      <c r="M12" s="13">
        <f t="shared" si="3"/>
        <v>92.513020833333343</v>
      </c>
      <c r="N12" s="44"/>
    </row>
    <row r="13" spans="2:14" ht="20.100000000000001" customHeight="1" x14ac:dyDescent="0.25">
      <c r="B13" s="12" t="s">
        <v>63</v>
      </c>
      <c r="C13" s="3" t="s">
        <v>44</v>
      </c>
      <c r="D13" s="2" t="s">
        <v>9</v>
      </c>
      <c r="E13" s="7">
        <v>21</v>
      </c>
      <c r="F13" s="1">
        <v>12.5</v>
      </c>
      <c r="G13" s="1">
        <v>18.75</v>
      </c>
      <c r="H13" s="1">
        <v>5</v>
      </c>
      <c r="I13" s="8">
        <v>0.6</v>
      </c>
      <c r="J13" s="1">
        <f t="shared" si="2"/>
        <v>456.25</v>
      </c>
      <c r="K13" s="1">
        <f t="shared" si="0"/>
        <v>912.5</v>
      </c>
      <c r="L13" s="1">
        <f t="shared" si="1"/>
        <v>57.03125</v>
      </c>
      <c r="M13" s="13">
        <f t="shared" si="3"/>
        <v>71.2890625</v>
      </c>
      <c r="N13" s="44"/>
    </row>
    <row r="14" spans="2:14" ht="20.100000000000001" customHeight="1" x14ac:dyDescent="0.25">
      <c r="B14" s="12" t="s">
        <v>62</v>
      </c>
      <c r="C14" s="3" t="s">
        <v>44</v>
      </c>
      <c r="D14" s="2" t="s">
        <v>3</v>
      </c>
      <c r="E14" s="7">
        <v>21</v>
      </c>
      <c r="F14" s="1">
        <v>12.5</v>
      </c>
      <c r="G14" s="1">
        <v>18.75</v>
      </c>
      <c r="H14" s="1">
        <v>12.5</v>
      </c>
      <c r="I14" s="8">
        <v>0.55000000000000004</v>
      </c>
      <c r="J14" s="1">
        <f t="shared" si="2"/>
        <v>592.08333333333337</v>
      </c>
      <c r="K14" s="1">
        <f t="shared" si="0"/>
        <v>1184.1666666666667</v>
      </c>
      <c r="L14" s="1">
        <f t="shared" si="1"/>
        <v>74.010416666666671</v>
      </c>
      <c r="M14" s="13">
        <f t="shared" si="3"/>
        <v>92.513020833333343</v>
      </c>
      <c r="N14" s="44"/>
    </row>
    <row r="15" spans="2:14" ht="20.100000000000001" customHeight="1" x14ac:dyDescent="0.25">
      <c r="B15" s="12" t="s">
        <v>61</v>
      </c>
      <c r="C15" s="3" t="s">
        <v>44</v>
      </c>
      <c r="D15" s="2" t="s">
        <v>3</v>
      </c>
      <c r="E15" s="7">
        <v>21</v>
      </c>
      <c r="F15" s="1">
        <v>12.5</v>
      </c>
      <c r="G15" s="1">
        <v>18.75</v>
      </c>
      <c r="H15" s="1">
        <v>12.5</v>
      </c>
      <c r="I15" s="8">
        <v>0.55000000000000004</v>
      </c>
      <c r="J15" s="1">
        <f t="shared" si="2"/>
        <v>592.08333333333337</v>
      </c>
      <c r="K15" s="1">
        <f t="shared" si="0"/>
        <v>1184.1666666666667</v>
      </c>
      <c r="L15" s="1">
        <f t="shared" si="1"/>
        <v>74.010416666666671</v>
      </c>
      <c r="M15" s="13">
        <f t="shared" si="3"/>
        <v>92.513020833333343</v>
      </c>
      <c r="N15" s="44"/>
    </row>
    <row r="16" spans="2:14" ht="20.100000000000001" customHeight="1" x14ac:dyDescent="0.25">
      <c r="B16" s="12" t="s">
        <v>60</v>
      </c>
      <c r="C16" s="3" t="s">
        <v>44</v>
      </c>
      <c r="D16" s="2" t="s">
        <v>3</v>
      </c>
      <c r="E16" s="7">
        <v>21</v>
      </c>
      <c r="F16" s="1">
        <v>12.5</v>
      </c>
      <c r="G16" s="1">
        <v>18.75</v>
      </c>
      <c r="H16" s="1">
        <v>12.5</v>
      </c>
      <c r="I16" s="8">
        <v>0.55000000000000004</v>
      </c>
      <c r="J16" s="1">
        <f t="shared" si="2"/>
        <v>592.08333333333337</v>
      </c>
      <c r="K16" s="1">
        <f t="shared" si="0"/>
        <v>1184.1666666666667</v>
      </c>
      <c r="L16" s="1">
        <f t="shared" si="1"/>
        <v>74.010416666666671</v>
      </c>
      <c r="M16" s="13">
        <f t="shared" si="3"/>
        <v>92.513020833333343</v>
      </c>
      <c r="N16" s="44"/>
    </row>
    <row r="17" spans="2:14" ht="20.100000000000001" customHeight="1" x14ac:dyDescent="0.25">
      <c r="B17" s="12" t="s">
        <v>59</v>
      </c>
      <c r="C17" s="3" t="s">
        <v>44</v>
      </c>
      <c r="D17" s="2" t="s">
        <v>9</v>
      </c>
      <c r="E17" s="7">
        <v>21</v>
      </c>
      <c r="F17" s="1">
        <v>12.5</v>
      </c>
      <c r="G17" s="1">
        <v>18.75</v>
      </c>
      <c r="H17" s="1">
        <v>5</v>
      </c>
      <c r="I17" s="8">
        <v>0.5</v>
      </c>
      <c r="J17" s="1">
        <f t="shared" si="2"/>
        <v>372.25</v>
      </c>
      <c r="K17" s="1">
        <f t="shared" si="0"/>
        <v>744.5</v>
      </c>
      <c r="L17" s="1">
        <f t="shared" si="1"/>
        <v>46.53125</v>
      </c>
      <c r="M17" s="13">
        <f t="shared" si="3"/>
        <v>58.1640625</v>
      </c>
      <c r="N17" s="44"/>
    </row>
    <row r="18" spans="2:14" ht="20.100000000000001" customHeight="1" x14ac:dyDescent="0.25">
      <c r="B18" s="12" t="s">
        <v>58</v>
      </c>
      <c r="C18" s="3" t="s">
        <v>44</v>
      </c>
      <c r="D18" s="2" t="s">
        <v>3</v>
      </c>
      <c r="E18" s="7">
        <v>21</v>
      </c>
      <c r="F18" s="1">
        <v>12.5</v>
      </c>
      <c r="G18" s="1">
        <v>18.75</v>
      </c>
      <c r="H18" s="1">
        <v>12.5</v>
      </c>
      <c r="I18" s="8">
        <v>0.45</v>
      </c>
      <c r="J18" s="1">
        <f t="shared" si="2"/>
        <v>524.2045454545455</v>
      </c>
      <c r="K18" s="1">
        <f t="shared" si="0"/>
        <v>1048.409090909091</v>
      </c>
      <c r="L18" s="1">
        <f t="shared" si="1"/>
        <v>65.525568181818187</v>
      </c>
      <c r="M18" s="13">
        <f t="shared" si="3"/>
        <v>81.906960227272734</v>
      </c>
      <c r="N18" s="44"/>
    </row>
    <row r="19" spans="2:14" ht="20.100000000000001" customHeight="1" x14ac:dyDescent="0.25">
      <c r="B19" s="12" t="s">
        <v>57</v>
      </c>
      <c r="C19" s="3" t="s">
        <v>44</v>
      </c>
      <c r="D19" s="2" t="s">
        <v>9</v>
      </c>
      <c r="E19" s="7">
        <v>21</v>
      </c>
      <c r="F19" s="1">
        <v>12.5</v>
      </c>
      <c r="G19" s="1">
        <v>18.75</v>
      </c>
      <c r="H19" s="1">
        <v>5</v>
      </c>
      <c r="I19" s="8">
        <v>0.5</v>
      </c>
      <c r="J19" s="1">
        <f t="shared" si="2"/>
        <v>372.25</v>
      </c>
      <c r="K19" s="1">
        <f t="shared" si="0"/>
        <v>744.5</v>
      </c>
      <c r="L19" s="1">
        <f t="shared" si="1"/>
        <v>46.53125</v>
      </c>
      <c r="M19" s="13">
        <f t="shared" si="3"/>
        <v>58.1640625</v>
      </c>
      <c r="N19" s="44"/>
    </row>
    <row r="20" spans="2:14" ht="20.100000000000001" customHeight="1" x14ac:dyDescent="0.25">
      <c r="B20" s="12" t="s">
        <v>56</v>
      </c>
      <c r="C20" s="3" t="s">
        <v>44</v>
      </c>
      <c r="D20" s="2" t="s">
        <v>3</v>
      </c>
      <c r="E20" s="7">
        <v>21</v>
      </c>
      <c r="F20" s="1">
        <v>12.5</v>
      </c>
      <c r="G20" s="1">
        <v>18.75</v>
      </c>
      <c r="H20" s="1">
        <v>12.5</v>
      </c>
      <c r="I20" s="8">
        <v>0.45</v>
      </c>
      <c r="J20" s="1">
        <f t="shared" si="2"/>
        <v>524.2045454545455</v>
      </c>
      <c r="K20" s="1">
        <f t="shared" si="0"/>
        <v>1048.409090909091</v>
      </c>
      <c r="L20" s="1">
        <f t="shared" si="1"/>
        <v>65.525568181818187</v>
      </c>
      <c r="M20" s="13">
        <f t="shared" si="3"/>
        <v>81.906960227272734</v>
      </c>
      <c r="N20" s="44"/>
    </row>
    <row r="21" spans="2:14" ht="20.100000000000001" customHeight="1" x14ac:dyDescent="0.25">
      <c r="B21" s="12" t="s">
        <v>55</v>
      </c>
      <c r="C21" s="3" t="s">
        <v>44</v>
      </c>
      <c r="D21" s="2" t="s">
        <v>5</v>
      </c>
      <c r="E21" s="7">
        <v>21</v>
      </c>
      <c r="F21" s="1">
        <v>12.5</v>
      </c>
      <c r="G21" s="1">
        <v>18.75</v>
      </c>
      <c r="H21" s="1">
        <v>5</v>
      </c>
      <c r="I21" s="8">
        <v>0.5</v>
      </c>
      <c r="J21" s="1">
        <f t="shared" si="2"/>
        <v>372.25</v>
      </c>
      <c r="K21" s="1">
        <f t="shared" si="0"/>
        <v>744.5</v>
      </c>
      <c r="L21" s="1">
        <f t="shared" si="1"/>
        <v>46.53125</v>
      </c>
      <c r="M21" s="13">
        <f t="shared" si="3"/>
        <v>58.1640625</v>
      </c>
      <c r="N21" s="44"/>
    </row>
    <row r="22" spans="2:14" ht="20.100000000000001" customHeight="1" x14ac:dyDescent="0.25">
      <c r="B22" s="12" t="s">
        <v>54</v>
      </c>
      <c r="C22" s="3" t="s">
        <v>44</v>
      </c>
      <c r="D22" s="2" t="s">
        <v>3</v>
      </c>
      <c r="E22" s="7">
        <v>21</v>
      </c>
      <c r="F22" s="1">
        <v>12.5</v>
      </c>
      <c r="G22" s="1">
        <v>18.75</v>
      </c>
      <c r="H22" s="1">
        <v>12.5</v>
      </c>
      <c r="I22" s="8">
        <v>0.45</v>
      </c>
      <c r="J22" s="1">
        <f t="shared" si="2"/>
        <v>524.2045454545455</v>
      </c>
      <c r="K22" s="1">
        <f t="shared" si="0"/>
        <v>1048.409090909091</v>
      </c>
      <c r="L22" s="1">
        <f t="shared" si="1"/>
        <v>65.525568181818187</v>
      </c>
      <c r="M22" s="13">
        <f t="shared" si="3"/>
        <v>81.906960227272734</v>
      </c>
      <c r="N22" s="44"/>
    </row>
    <row r="23" spans="2:14" ht="20.100000000000001" customHeight="1" x14ac:dyDescent="0.25">
      <c r="B23" s="12" t="s">
        <v>53</v>
      </c>
      <c r="C23" s="3" t="s">
        <v>44</v>
      </c>
      <c r="D23" s="2" t="s">
        <v>3</v>
      </c>
      <c r="E23" s="7">
        <v>21</v>
      </c>
      <c r="F23" s="1">
        <v>12.5</v>
      </c>
      <c r="G23" s="1">
        <v>18.75</v>
      </c>
      <c r="H23" s="1">
        <v>12.5</v>
      </c>
      <c r="I23" s="8">
        <v>0.5</v>
      </c>
      <c r="J23" s="1">
        <f t="shared" si="2"/>
        <v>554.75</v>
      </c>
      <c r="K23" s="1">
        <f t="shared" si="0"/>
        <v>1109.5</v>
      </c>
      <c r="L23" s="1">
        <f t="shared" si="1"/>
        <v>69.34375</v>
      </c>
      <c r="M23" s="13">
        <f t="shared" si="3"/>
        <v>86.6796875</v>
      </c>
      <c r="N23" s="44"/>
    </row>
    <row r="24" spans="2:14" ht="20.100000000000001" customHeight="1" x14ac:dyDescent="0.25">
      <c r="B24" s="12" t="s">
        <v>52</v>
      </c>
      <c r="C24" s="3" t="s">
        <v>44</v>
      </c>
      <c r="D24" s="2" t="s">
        <v>3</v>
      </c>
      <c r="E24" s="7">
        <v>21</v>
      </c>
      <c r="F24" s="1">
        <v>12.5</v>
      </c>
      <c r="G24" s="1">
        <v>18.75</v>
      </c>
      <c r="H24" s="1">
        <v>12.5</v>
      </c>
      <c r="I24" s="8">
        <v>0.5</v>
      </c>
      <c r="J24" s="1">
        <f t="shared" si="2"/>
        <v>554.75</v>
      </c>
      <c r="K24" s="1">
        <f t="shared" si="0"/>
        <v>1109.5</v>
      </c>
      <c r="L24" s="1">
        <f t="shared" si="1"/>
        <v>69.34375</v>
      </c>
      <c r="M24" s="13">
        <f t="shared" si="3"/>
        <v>86.6796875</v>
      </c>
      <c r="N24" s="44"/>
    </row>
    <row r="25" spans="2:14" ht="20.100000000000001" customHeight="1" x14ac:dyDescent="0.25">
      <c r="B25" s="12" t="s">
        <v>51</v>
      </c>
      <c r="C25" s="3" t="s">
        <v>44</v>
      </c>
      <c r="D25" s="2" t="s">
        <v>3</v>
      </c>
      <c r="E25" s="7">
        <v>21</v>
      </c>
      <c r="F25" s="1">
        <v>12.5</v>
      </c>
      <c r="G25" s="1">
        <v>18.75</v>
      </c>
      <c r="H25" s="1">
        <v>12.5</v>
      </c>
      <c r="I25" s="8">
        <v>0.5</v>
      </c>
      <c r="J25" s="1">
        <f t="shared" si="2"/>
        <v>554.75</v>
      </c>
      <c r="K25" s="1">
        <f t="shared" si="0"/>
        <v>1109.5</v>
      </c>
      <c r="L25" s="1">
        <f t="shared" si="1"/>
        <v>69.34375</v>
      </c>
      <c r="M25" s="13">
        <f t="shared" si="3"/>
        <v>86.6796875</v>
      </c>
      <c r="N25" s="44"/>
    </row>
    <row r="26" spans="2:14" ht="20.100000000000001" customHeight="1" x14ac:dyDescent="0.25">
      <c r="B26" s="12" t="s">
        <v>50</v>
      </c>
      <c r="C26" s="3" t="s">
        <v>44</v>
      </c>
      <c r="D26" s="2" t="s">
        <v>3</v>
      </c>
      <c r="E26" s="7">
        <v>21</v>
      </c>
      <c r="F26" s="1">
        <v>12.5</v>
      </c>
      <c r="G26" s="1">
        <v>18.75</v>
      </c>
      <c r="H26" s="1">
        <v>12.5</v>
      </c>
      <c r="I26" s="8">
        <v>0.5</v>
      </c>
      <c r="J26" s="1">
        <f t="shared" si="2"/>
        <v>554.75</v>
      </c>
      <c r="K26" s="1">
        <f t="shared" si="0"/>
        <v>1109.5</v>
      </c>
      <c r="L26" s="1">
        <f t="shared" si="1"/>
        <v>69.34375</v>
      </c>
      <c r="M26" s="13">
        <f t="shared" si="3"/>
        <v>86.6796875</v>
      </c>
      <c r="N26" s="44"/>
    </row>
    <row r="27" spans="2:14" ht="20.100000000000001" customHeight="1" x14ac:dyDescent="0.25">
      <c r="B27" s="12" t="s">
        <v>49</v>
      </c>
      <c r="C27" s="3" t="s">
        <v>44</v>
      </c>
      <c r="D27" s="2" t="s">
        <v>9</v>
      </c>
      <c r="E27" s="7">
        <v>21</v>
      </c>
      <c r="F27" s="1">
        <v>12.5</v>
      </c>
      <c r="G27" s="1">
        <v>18.75</v>
      </c>
      <c r="H27" s="1">
        <v>5</v>
      </c>
      <c r="I27" s="8">
        <v>0.5</v>
      </c>
      <c r="J27" s="1">
        <f t="shared" si="2"/>
        <v>372.25</v>
      </c>
      <c r="K27" s="1">
        <f t="shared" si="0"/>
        <v>744.5</v>
      </c>
      <c r="L27" s="1">
        <f t="shared" si="1"/>
        <v>46.53125</v>
      </c>
      <c r="M27" s="13">
        <f t="shared" si="3"/>
        <v>58.1640625</v>
      </c>
      <c r="N27" s="44"/>
    </row>
    <row r="28" spans="2:14" ht="20.100000000000001" customHeight="1" x14ac:dyDescent="0.25">
      <c r="B28" s="12" t="s">
        <v>48</v>
      </c>
      <c r="C28" s="3" t="s">
        <v>44</v>
      </c>
      <c r="D28" s="2" t="s">
        <v>3</v>
      </c>
      <c r="E28" s="7">
        <v>21</v>
      </c>
      <c r="F28" s="1">
        <v>12.5</v>
      </c>
      <c r="G28" s="1">
        <v>18.75</v>
      </c>
      <c r="H28" s="1">
        <v>12.5</v>
      </c>
      <c r="I28" s="8">
        <v>0.5</v>
      </c>
      <c r="J28" s="1">
        <f t="shared" si="2"/>
        <v>554.75</v>
      </c>
      <c r="K28" s="1">
        <f t="shared" si="0"/>
        <v>1109.5</v>
      </c>
      <c r="L28" s="1">
        <f t="shared" si="1"/>
        <v>69.34375</v>
      </c>
      <c r="M28" s="13">
        <f t="shared" si="3"/>
        <v>86.6796875</v>
      </c>
      <c r="N28" s="44"/>
    </row>
    <row r="29" spans="2:14" ht="20.100000000000001" customHeight="1" x14ac:dyDescent="0.25">
      <c r="B29" s="12" t="s">
        <v>47</v>
      </c>
      <c r="C29" s="3" t="s">
        <v>44</v>
      </c>
      <c r="D29" s="2" t="s">
        <v>3</v>
      </c>
      <c r="E29" s="7">
        <v>21</v>
      </c>
      <c r="F29" s="1">
        <v>12.5</v>
      </c>
      <c r="G29" s="1">
        <v>18.75</v>
      </c>
      <c r="H29" s="1">
        <v>12.5</v>
      </c>
      <c r="I29" s="8">
        <v>0.5</v>
      </c>
      <c r="J29" s="1">
        <f t="shared" si="2"/>
        <v>554.75</v>
      </c>
      <c r="K29" s="1">
        <f t="shared" si="0"/>
        <v>1109.5</v>
      </c>
      <c r="L29" s="1">
        <f t="shared" si="1"/>
        <v>69.34375</v>
      </c>
      <c r="M29" s="13">
        <f t="shared" si="3"/>
        <v>86.6796875</v>
      </c>
      <c r="N29" s="44"/>
    </row>
    <row r="30" spans="2:14" ht="20.100000000000001" customHeight="1" x14ac:dyDescent="0.25">
      <c r="B30" s="12" t="s">
        <v>46</v>
      </c>
      <c r="C30" s="2" t="s">
        <v>44</v>
      </c>
      <c r="D30" s="2" t="s">
        <v>3</v>
      </c>
      <c r="E30" s="7">
        <v>21</v>
      </c>
      <c r="F30" s="1">
        <v>12.5</v>
      </c>
      <c r="G30" s="1">
        <v>18.75</v>
      </c>
      <c r="H30" s="1">
        <v>12.5</v>
      </c>
      <c r="I30" s="8">
        <v>0.5</v>
      </c>
      <c r="J30" s="1">
        <f t="shared" si="2"/>
        <v>554.75</v>
      </c>
      <c r="K30" s="1">
        <f t="shared" si="0"/>
        <v>1109.5</v>
      </c>
      <c r="L30" s="1">
        <f t="shared" si="1"/>
        <v>69.34375</v>
      </c>
      <c r="M30" s="13">
        <f t="shared" si="3"/>
        <v>86.6796875</v>
      </c>
      <c r="N30" s="44"/>
    </row>
    <row r="31" spans="2:14" ht="20.100000000000001" customHeight="1" x14ac:dyDescent="0.25">
      <c r="B31" s="12" t="s">
        <v>45</v>
      </c>
      <c r="C31" s="2" t="s">
        <v>44</v>
      </c>
      <c r="D31" s="2" t="s">
        <v>9</v>
      </c>
      <c r="E31" s="7">
        <v>21</v>
      </c>
      <c r="F31" s="1">
        <v>12.5</v>
      </c>
      <c r="G31" s="1">
        <v>18.75</v>
      </c>
      <c r="H31" s="1">
        <v>5</v>
      </c>
      <c r="I31" s="8">
        <v>0.55000000000000004</v>
      </c>
      <c r="J31" s="1">
        <f t="shared" si="2"/>
        <v>409.58333333333337</v>
      </c>
      <c r="K31" s="1">
        <f t="shared" si="0"/>
        <v>819.16666666666674</v>
      </c>
      <c r="L31" s="1">
        <f t="shared" si="1"/>
        <v>51.197916666666671</v>
      </c>
      <c r="M31" s="13">
        <f t="shared" si="3"/>
        <v>63.997395833333343</v>
      </c>
      <c r="N31" s="44"/>
    </row>
    <row r="32" spans="2:14" ht="20.100000000000001" customHeight="1" x14ac:dyDescent="0.25">
      <c r="B32" s="12" t="s">
        <v>43</v>
      </c>
      <c r="C32" s="2" t="s">
        <v>29</v>
      </c>
      <c r="D32" s="2" t="s">
        <v>5</v>
      </c>
      <c r="E32" s="7">
        <v>23</v>
      </c>
      <c r="F32" s="1">
        <v>12.5</v>
      </c>
      <c r="G32" s="1">
        <v>18.75</v>
      </c>
      <c r="H32" s="1">
        <v>5</v>
      </c>
      <c r="I32" s="8">
        <v>0.55000000000000004</v>
      </c>
      <c r="J32" s="1">
        <f t="shared" si="2"/>
        <v>445.13888888888891</v>
      </c>
      <c r="K32" s="1">
        <f t="shared" si="0"/>
        <v>890.27777777777783</v>
      </c>
      <c r="L32" s="1">
        <f t="shared" si="1"/>
        <v>55.642361111111114</v>
      </c>
      <c r="M32" s="13">
        <f t="shared" si="3"/>
        <v>69.552951388888886</v>
      </c>
      <c r="N32" s="44"/>
    </row>
    <row r="33" spans="2:14" ht="20.100000000000001" customHeight="1" x14ac:dyDescent="0.25">
      <c r="B33" s="12" t="s">
        <v>42</v>
      </c>
      <c r="C33" s="3" t="s">
        <v>29</v>
      </c>
      <c r="D33" s="2" t="s">
        <v>5</v>
      </c>
      <c r="E33" s="7">
        <v>23</v>
      </c>
      <c r="F33" s="1">
        <v>12.5</v>
      </c>
      <c r="G33" s="1">
        <v>18.75</v>
      </c>
      <c r="H33" s="1">
        <v>5</v>
      </c>
      <c r="I33" s="8">
        <v>0.5</v>
      </c>
      <c r="J33" s="1">
        <f t="shared" si="2"/>
        <v>404.25</v>
      </c>
      <c r="K33" s="1">
        <f t="shared" si="0"/>
        <v>808.5</v>
      </c>
      <c r="L33" s="1">
        <f t="shared" si="1"/>
        <v>50.53125</v>
      </c>
      <c r="M33" s="13">
        <f t="shared" si="3"/>
        <v>63.1640625</v>
      </c>
      <c r="N33" s="44"/>
    </row>
    <row r="34" spans="2:14" ht="20.100000000000001" customHeight="1" x14ac:dyDescent="0.25">
      <c r="B34" s="12" t="s">
        <v>41</v>
      </c>
      <c r="C34" s="3" t="s">
        <v>29</v>
      </c>
      <c r="D34" s="2" t="s">
        <v>9</v>
      </c>
      <c r="E34" s="7">
        <v>23</v>
      </c>
      <c r="F34" s="1">
        <v>12.5</v>
      </c>
      <c r="G34" s="1">
        <v>18.75</v>
      </c>
      <c r="H34" s="1">
        <v>7.5</v>
      </c>
      <c r="I34" s="8">
        <v>0.6</v>
      </c>
      <c r="J34" s="1">
        <f t="shared" si="2"/>
        <v>498.75</v>
      </c>
      <c r="K34" s="1">
        <f t="shared" si="0"/>
        <v>997.5</v>
      </c>
      <c r="L34" s="1">
        <f t="shared" si="1"/>
        <v>62.34375</v>
      </c>
      <c r="M34" s="13">
        <f t="shared" si="3"/>
        <v>77.9296875</v>
      </c>
      <c r="N34" s="44"/>
    </row>
    <row r="35" spans="2:14" ht="20.100000000000001" customHeight="1" x14ac:dyDescent="0.25">
      <c r="B35" s="12" t="s">
        <v>40</v>
      </c>
      <c r="C35" s="3" t="s">
        <v>29</v>
      </c>
      <c r="D35" s="2" t="s">
        <v>5</v>
      </c>
      <c r="E35" s="7">
        <v>23</v>
      </c>
      <c r="F35" s="1">
        <v>12.5</v>
      </c>
      <c r="G35" s="1">
        <v>18.75</v>
      </c>
      <c r="H35" s="1">
        <v>7.5</v>
      </c>
      <c r="I35" s="8">
        <v>0.6</v>
      </c>
      <c r="J35" s="1">
        <f t="shared" si="2"/>
        <v>498.75</v>
      </c>
      <c r="K35" s="1">
        <f t="shared" ref="K35:K66" si="4">J35*2</f>
        <v>997.5</v>
      </c>
      <c r="L35" s="1">
        <f t="shared" ref="L35:L70" si="5">J35/8</f>
        <v>62.34375</v>
      </c>
      <c r="M35" s="13">
        <f t="shared" si="3"/>
        <v>77.9296875</v>
      </c>
      <c r="N35" s="44"/>
    </row>
    <row r="36" spans="2:14" ht="20.100000000000001" customHeight="1" x14ac:dyDescent="0.25">
      <c r="B36" s="12" t="s">
        <v>39</v>
      </c>
      <c r="C36" s="3" t="s">
        <v>29</v>
      </c>
      <c r="D36" s="2" t="s">
        <v>5</v>
      </c>
      <c r="E36" s="7">
        <v>23</v>
      </c>
      <c r="F36" s="1">
        <v>12.5</v>
      </c>
      <c r="G36" s="1">
        <v>18.75</v>
      </c>
      <c r="H36" s="1">
        <v>7.5</v>
      </c>
      <c r="I36" s="8">
        <v>0.55000000000000004</v>
      </c>
      <c r="J36" s="1">
        <f t="shared" si="2"/>
        <v>447.63888888888891</v>
      </c>
      <c r="K36" s="1">
        <f t="shared" si="4"/>
        <v>895.27777777777783</v>
      </c>
      <c r="L36" s="1">
        <f t="shared" si="5"/>
        <v>55.954861111111114</v>
      </c>
      <c r="M36" s="13">
        <f t="shared" si="3"/>
        <v>69.943576388888886</v>
      </c>
      <c r="N36" s="44"/>
    </row>
    <row r="37" spans="2:14" ht="20.100000000000001" customHeight="1" x14ac:dyDescent="0.25">
      <c r="B37" s="12" t="s">
        <v>38</v>
      </c>
      <c r="C37" s="3" t="s">
        <v>29</v>
      </c>
      <c r="D37" s="2" t="s">
        <v>5</v>
      </c>
      <c r="E37" s="7">
        <v>23</v>
      </c>
      <c r="F37" s="1">
        <v>12.5</v>
      </c>
      <c r="G37" s="1">
        <v>18.75</v>
      </c>
      <c r="H37" s="1">
        <v>7.5</v>
      </c>
      <c r="I37" s="8">
        <v>0.55000000000000004</v>
      </c>
      <c r="J37" s="1">
        <f t="shared" si="2"/>
        <v>447.63888888888891</v>
      </c>
      <c r="K37" s="1">
        <f t="shared" si="4"/>
        <v>895.27777777777783</v>
      </c>
      <c r="L37" s="1">
        <f t="shared" si="5"/>
        <v>55.954861111111114</v>
      </c>
      <c r="M37" s="13">
        <f t="shared" si="3"/>
        <v>69.943576388888886</v>
      </c>
      <c r="N37" s="44"/>
    </row>
    <row r="38" spans="2:14" ht="20.100000000000001" customHeight="1" x14ac:dyDescent="0.25">
      <c r="B38" s="12" t="s">
        <v>37</v>
      </c>
      <c r="C38" s="3" t="s">
        <v>29</v>
      </c>
      <c r="D38" s="2" t="s">
        <v>9</v>
      </c>
      <c r="E38" s="7">
        <v>23</v>
      </c>
      <c r="F38" s="1">
        <v>12.5</v>
      </c>
      <c r="G38" s="1">
        <v>18.75</v>
      </c>
      <c r="H38" s="1">
        <v>7.5</v>
      </c>
      <c r="I38" s="8">
        <v>0.6</v>
      </c>
      <c r="J38" s="1">
        <f t="shared" si="2"/>
        <v>498.75</v>
      </c>
      <c r="K38" s="1">
        <f t="shared" si="4"/>
        <v>997.5</v>
      </c>
      <c r="L38" s="1">
        <f t="shared" si="5"/>
        <v>62.34375</v>
      </c>
      <c r="M38" s="13">
        <f t="shared" si="3"/>
        <v>77.9296875</v>
      </c>
      <c r="N38" s="44"/>
    </row>
    <row r="39" spans="2:14" ht="20.100000000000001" customHeight="1" x14ac:dyDescent="0.25">
      <c r="B39" s="12" t="s">
        <v>36</v>
      </c>
      <c r="C39" s="3" t="s">
        <v>29</v>
      </c>
      <c r="D39" s="2" t="s">
        <v>9</v>
      </c>
      <c r="E39" s="7">
        <v>23</v>
      </c>
      <c r="F39" s="1">
        <v>12.5</v>
      </c>
      <c r="G39" s="1">
        <v>18.75</v>
      </c>
      <c r="H39" s="1">
        <v>7.5</v>
      </c>
      <c r="I39" s="8">
        <v>0.6</v>
      </c>
      <c r="J39" s="1">
        <f t="shared" si="2"/>
        <v>498.75</v>
      </c>
      <c r="K39" s="1">
        <f t="shared" si="4"/>
        <v>997.5</v>
      </c>
      <c r="L39" s="1">
        <f t="shared" si="5"/>
        <v>62.34375</v>
      </c>
      <c r="M39" s="13">
        <f t="shared" si="3"/>
        <v>77.9296875</v>
      </c>
      <c r="N39" s="44"/>
    </row>
    <row r="40" spans="2:14" ht="20.100000000000001" customHeight="1" x14ac:dyDescent="0.25">
      <c r="B40" s="12" t="s">
        <v>35</v>
      </c>
      <c r="C40" s="3" t="s">
        <v>29</v>
      </c>
      <c r="D40" s="2" t="s">
        <v>5</v>
      </c>
      <c r="E40" s="7">
        <v>23</v>
      </c>
      <c r="F40" s="1">
        <v>12.5</v>
      </c>
      <c r="G40" s="1">
        <v>18.75</v>
      </c>
      <c r="H40" s="1">
        <v>5</v>
      </c>
      <c r="I40" s="8">
        <v>0.55000000000000004</v>
      </c>
      <c r="J40" s="1">
        <f t="shared" si="2"/>
        <v>445.13888888888891</v>
      </c>
      <c r="K40" s="1">
        <f t="shared" si="4"/>
        <v>890.27777777777783</v>
      </c>
      <c r="L40" s="1">
        <f t="shared" si="5"/>
        <v>55.642361111111114</v>
      </c>
      <c r="M40" s="13">
        <f t="shared" si="3"/>
        <v>69.552951388888886</v>
      </c>
      <c r="N40" s="44"/>
    </row>
    <row r="41" spans="2:14" ht="20.100000000000001" customHeight="1" x14ac:dyDescent="0.25">
      <c r="B41" s="12" t="s">
        <v>34</v>
      </c>
      <c r="C41" s="3" t="s">
        <v>29</v>
      </c>
      <c r="D41" s="2" t="s">
        <v>9</v>
      </c>
      <c r="E41" s="7">
        <v>23</v>
      </c>
      <c r="F41" s="1">
        <v>12.5</v>
      </c>
      <c r="G41" s="1">
        <v>18.75</v>
      </c>
      <c r="H41" s="1">
        <v>7.5</v>
      </c>
      <c r="I41" s="8">
        <v>0.6</v>
      </c>
      <c r="J41" s="1">
        <f t="shared" si="2"/>
        <v>498.75</v>
      </c>
      <c r="K41" s="1">
        <f t="shared" si="4"/>
        <v>997.5</v>
      </c>
      <c r="L41" s="1">
        <f t="shared" si="5"/>
        <v>62.34375</v>
      </c>
      <c r="M41" s="13">
        <f t="shared" si="3"/>
        <v>77.9296875</v>
      </c>
      <c r="N41" s="44"/>
    </row>
    <row r="42" spans="2:14" ht="20.100000000000001" customHeight="1" x14ac:dyDescent="0.25">
      <c r="B42" s="12" t="s">
        <v>33</v>
      </c>
      <c r="C42" s="3" t="s">
        <v>29</v>
      </c>
      <c r="D42" s="2" t="s">
        <v>5</v>
      </c>
      <c r="E42" s="7">
        <v>23</v>
      </c>
      <c r="F42" s="1">
        <v>12.5</v>
      </c>
      <c r="G42" s="1">
        <v>18.75</v>
      </c>
      <c r="H42" s="1">
        <v>3</v>
      </c>
      <c r="I42" s="8">
        <v>0.45</v>
      </c>
      <c r="J42" s="1">
        <f t="shared" si="2"/>
        <v>368.7954545454545</v>
      </c>
      <c r="K42" s="1">
        <f t="shared" si="4"/>
        <v>737.59090909090901</v>
      </c>
      <c r="L42" s="1">
        <f t="shared" si="5"/>
        <v>46.099431818181813</v>
      </c>
      <c r="M42" s="13">
        <f t="shared" si="3"/>
        <v>57.624289772727266</v>
      </c>
      <c r="N42" s="44"/>
    </row>
    <row r="43" spans="2:14" ht="20.100000000000001" customHeight="1" x14ac:dyDescent="0.25">
      <c r="B43" s="12" t="s">
        <v>32</v>
      </c>
      <c r="C43" s="3" t="s">
        <v>29</v>
      </c>
      <c r="D43" s="2" t="s">
        <v>5</v>
      </c>
      <c r="E43" s="7">
        <v>23</v>
      </c>
      <c r="F43" s="1">
        <v>12.5</v>
      </c>
      <c r="G43" s="1">
        <v>18.75</v>
      </c>
      <c r="H43" s="1">
        <v>5</v>
      </c>
      <c r="I43" s="8">
        <v>0.52</v>
      </c>
      <c r="J43" s="1">
        <f t="shared" si="2"/>
        <v>419.58333333333337</v>
      </c>
      <c r="K43" s="1">
        <f t="shared" si="4"/>
        <v>839.16666666666674</v>
      </c>
      <c r="L43" s="1">
        <f t="shared" si="5"/>
        <v>52.447916666666671</v>
      </c>
      <c r="M43" s="13">
        <f t="shared" si="3"/>
        <v>65.559895833333343</v>
      </c>
      <c r="N43" s="44"/>
    </row>
    <row r="44" spans="2:14" ht="20.100000000000001" customHeight="1" x14ac:dyDescent="0.25">
      <c r="B44" s="12" t="s">
        <v>31</v>
      </c>
      <c r="C44" s="3" t="s">
        <v>29</v>
      </c>
      <c r="D44" s="2" t="s">
        <v>5</v>
      </c>
      <c r="E44" s="7">
        <v>23</v>
      </c>
      <c r="F44" s="1">
        <v>12.5</v>
      </c>
      <c r="G44" s="1">
        <v>18.75</v>
      </c>
      <c r="H44" s="1">
        <v>5</v>
      </c>
      <c r="I44" s="8">
        <v>0.52</v>
      </c>
      <c r="J44" s="1">
        <f t="shared" si="2"/>
        <v>419.58333333333337</v>
      </c>
      <c r="K44" s="1">
        <f t="shared" si="4"/>
        <v>839.16666666666674</v>
      </c>
      <c r="L44" s="1">
        <f t="shared" si="5"/>
        <v>52.447916666666671</v>
      </c>
      <c r="M44" s="13">
        <f t="shared" si="3"/>
        <v>65.559895833333343</v>
      </c>
      <c r="N44" s="44"/>
    </row>
    <row r="45" spans="2:14" ht="20.100000000000001" customHeight="1" x14ac:dyDescent="0.25">
      <c r="B45" s="12" t="s">
        <v>30</v>
      </c>
      <c r="C45" s="3" t="s">
        <v>29</v>
      </c>
      <c r="D45" s="2" t="s">
        <v>9</v>
      </c>
      <c r="E45" s="7">
        <v>23</v>
      </c>
      <c r="F45" s="1">
        <v>12.5</v>
      </c>
      <c r="G45" s="1">
        <v>18.75</v>
      </c>
      <c r="H45" s="1">
        <v>5</v>
      </c>
      <c r="I45" s="8">
        <v>0.55000000000000004</v>
      </c>
      <c r="J45" s="1">
        <f t="shared" si="2"/>
        <v>445.13888888888891</v>
      </c>
      <c r="K45" s="1">
        <f t="shared" si="4"/>
        <v>890.27777777777783</v>
      </c>
      <c r="L45" s="1">
        <f t="shared" si="5"/>
        <v>55.642361111111114</v>
      </c>
      <c r="M45" s="13">
        <f t="shared" si="3"/>
        <v>69.552951388888886</v>
      </c>
      <c r="N45" s="44"/>
    </row>
    <row r="46" spans="2:14" ht="20.100000000000001" customHeight="1" x14ac:dyDescent="0.25">
      <c r="B46" s="12" t="s">
        <v>28</v>
      </c>
      <c r="C46" s="2" t="s">
        <v>0</v>
      </c>
      <c r="D46" s="2" t="s">
        <v>9</v>
      </c>
      <c r="E46" s="7">
        <v>21</v>
      </c>
      <c r="F46" s="1">
        <v>12.5</v>
      </c>
      <c r="G46" s="1">
        <v>18.75</v>
      </c>
      <c r="H46" s="1">
        <v>7.5</v>
      </c>
      <c r="I46" s="8">
        <v>0.52</v>
      </c>
      <c r="J46" s="1">
        <f t="shared" si="2"/>
        <v>388.75</v>
      </c>
      <c r="K46" s="1">
        <f t="shared" si="4"/>
        <v>777.5</v>
      </c>
      <c r="L46" s="1">
        <f t="shared" si="5"/>
        <v>48.59375</v>
      </c>
      <c r="M46" s="13">
        <f t="shared" si="3"/>
        <v>60.7421875</v>
      </c>
      <c r="N46" s="44"/>
    </row>
    <row r="47" spans="2:14" ht="20.100000000000001" customHeight="1" x14ac:dyDescent="0.25">
      <c r="B47" s="12" t="s">
        <v>27</v>
      </c>
      <c r="C47" s="3" t="s">
        <v>0</v>
      </c>
      <c r="D47" s="2" t="s">
        <v>9</v>
      </c>
      <c r="E47" s="7">
        <v>21</v>
      </c>
      <c r="F47" s="1">
        <v>12.5</v>
      </c>
      <c r="G47" s="1">
        <v>18.75</v>
      </c>
      <c r="H47" s="1">
        <v>7.5</v>
      </c>
      <c r="I47" s="8">
        <v>0.52</v>
      </c>
      <c r="J47" s="1">
        <f t="shared" si="2"/>
        <v>388.75</v>
      </c>
      <c r="K47" s="1">
        <f t="shared" si="4"/>
        <v>777.5</v>
      </c>
      <c r="L47" s="1">
        <f t="shared" si="5"/>
        <v>48.59375</v>
      </c>
      <c r="M47" s="13">
        <f t="shared" si="3"/>
        <v>60.7421875</v>
      </c>
      <c r="N47" s="44"/>
    </row>
    <row r="48" spans="2:14" ht="20.100000000000001" customHeight="1" x14ac:dyDescent="0.25">
      <c r="B48" s="12" t="s">
        <v>26</v>
      </c>
      <c r="C48" s="3" t="s">
        <v>0</v>
      </c>
      <c r="D48" s="2" t="s">
        <v>9</v>
      </c>
      <c r="E48" s="7">
        <v>21</v>
      </c>
      <c r="F48" s="1">
        <v>12.5</v>
      </c>
      <c r="G48" s="1">
        <v>18.75</v>
      </c>
      <c r="H48" s="1">
        <v>12.5</v>
      </c>
      <c r="I48" s="8">
        <v>0.52</v>
      </c>
      <c r="J48" s="1">
        <f t="shared" si="2"/>
        <v>393.75</v>
      </c>
      <c r="K48" s="1">
        <f t="shared" si="4"/>
        <v>787.5</v>
      </c>
      <c r="L48" s="1">
        <f t="shared" si="5"/>
        <v>49.21875</v>
      </c>
      <c r="M48" s="13">
        <f t="shared" si="3"/>
        <v>61.5234375</v>
      </c>
      <c r="N48" s="44"/>
    </row>
    <row r="49" spans="2:14" ht="20.100000000000001" customHeight="1" x14ac:dyDescent="0.25">
      <c r="B49" s="12" t="s">
        <v>25</v>
      </c>
      <c r="C49" s="3" t="s">
        <v>0</v>
      </c>
      <c r="D49" s="2" t="s">
        <v>5</v>
      </c>
      <c r="E49" s="7">
        <v>21</v>
      </c>
      <c r="F49" s="1">
        <v>12.5</v>
      </c>
      <c r="G49" s="1">
        <v>18.75</v>
      </c>
      <c r="H49" s="1">
        <v>5</v>
      </c>
      <c r="I49" s="8">
        <v>0.5</v>
      </c>
      <c r="J49" s="1">
        <f t="shared" si="2"/>
        <v>372.25</v>
      </c>
      <c r="K49" s="1">
        <f t="shared" si="4"/>
        <v>744.5</v>
      </c>
      <c r="L49" s="1">
        <f t="shared" si="5"/>
        <v>46.53125</v>
      </c>
      <c r="M49" s="13">
        <f t="shared" si="3"/>
        <v>58.1640625</v>
      </c>
      <c r="N49" s="44"/>
    </row>
    <row r="50" spans="2:14" ht="20.100000000000001" customHeight="1" x14ac:dyDescent="0.25">
      <c r="B50" s="12" t="s">
        <v>24</v>
      </c>
      <c r="C50" s="3" t="s">
        <v>0</v>
      </c>
      <c r="D50" s="2" t="s">
        <v>3</v>
      </c>
      <c r="E50" s="7">
        <v>21</v>
      </c>
      <c r="F50" s="1">
        <v>12.5</v>
      </c>
      <c r="G50" s="1">
        <v>18.75</v>
      </c>
      <c r="H50" s="1">
        <v>12.5</v>
      </c>
      <c r="I50" s="8">
        <v>0.52</v>
      </c>
      <c r="J50" s="1">
        <f t="shared" si="2"/>
        <v>568.75</v>
      </c>
      <c r="K50" s="1">
        <f t="shared" si="4"/>
        <v>1137.5</v>
      </c>
      <c r="L50" s="1">
        <f t="shared" si="5"/>
        <v>71.09375</v>
      </c>
      <c r="M50" s="13">
        <f t="shared" si="3"/>
        <v>88.8671875</v>
      </c>
      <c r="N50" s="44"/>
    </row>
    <row r="51" spans="2:14" ht="20.100000000000001" customHeight="1" x14ac:dyDescent="0.25">
      <c r="B51" s="12" t="s">
        <v>23</v>
      </c>
      <c r="C51" s="3" t="s">
        <v>0</v>
      </c>
      <c r="D51" s="2" t="s">
        <v>9</v>
      </c>
      <c r="E51" s="7">
        <v>21</v>
      </c>
      <c r="F51" s="1">
        <v>12.5</v>
      </c>
      <c r="G51" s="1">
        <v>18.75</v>
      </c>
      <c r="H51" s="1">
        <v>5</v>
      </c>
      <c r="I51" s="8">
        <v>0.52</v>
      </c>
      <c r="J51" s="1">
        <f t="shared" si="2"/>
        <v>386.25</v>
      </c>
      <c r="K51" s="1">
        <f t="shared" si="4"/>
        <v>772.5</v>
      </c>
      <c r="L51" s="1">
        <f t="shared" si="5"/>
        <v>48.28125</v>
      </c>
      <c r="M51" s="13">
        <f t="shared" si="3"/>
        <v>60.3515625</v>
      </c>
      <c r="N51" s="44"/>
    </row>
    <row r="52" spans="2:14" ht="20.100000000000001" customHeight="1" x14ac:dyDescent="0.25">
      <c r="B52" s="12" t="s">
        <v>22</v>
      </c>
      <c r="C52" s="3" t="s">
        <v>44</v>
      </c>
      <c r="D52" s="2" t="s">
        <v>9</v>
      </c>
      <c r="E52" s="7">
        <v>21</v>
      </c>
      <c r="F52" s="1">
        <v>12.5</v>
      </c>
      <c r="G52" s="1">
        <v>18.75</v>
      </c>
      <c r="H52" s="1">
        <v>5</v>
      </c>
      <c r="I52" s="8">
        <v>0.52</v>
      </c>
      <c r="J52" s="1">
        <f t="shared" si="2"/>
        <v>386.25</v>
      </c>
      <c r="K52" s="1">
        <f t="shared" si="4"/>
        <v>772.5</v>
      </c>
      <c r="L52" s="1">
        <f t="shared" si="5"/>
        <v>48.28125</v>
      </c>
      <c r="M52" s="13">
        <f t="shared" si="3"/>
        <v>60.3515625</v>
      </c>
      <c r="N52" s="44"/>
    </row>
    <row r="53" spans="2:14" ht="20.100000000000001" customHeight="1" x14ac:dyDescent="0.25">
      <c r="B53" s="12" t="s">
        <v>21</v>
      </c>
      <c r="C53" s="3" t="s">
        <v>0</v>
      </c>
      <c r="D53" s="2" t="s">
        <v>9</v>
      </c>
      <c r="E53" s="7">
        <v>21</v>
      </c>
      <c r="F53" s="1">
        <v>12.5</v>
      </c>
      <c r="G53" s="1">
        <v>18.75</v>
      </c>
      <c r="H53" s="1">
        <v>10</v>
      </c>
      <c r="I53" s="8">
        <v>0.52</v>
      </c>
      <c r="J53" s="1">
        <f t="shared" si="2"/>
        <v>391.25</v>
      </c>
      <c r="K53" s="1">
        <f t="shared" si="4"/>
        <v>782.5</v>
      </c>
      <c r="L53" s="1">
        <f t="shared" si="5"/>
        <v>48.90625</v>
      </c>
      <c r="M53" s="13">
        <f t="shared" si="3"/>
        <v>61.1328125</v>
      </c>
      <c r="N53" s="44"/>
    </row>
    <row r="54" spans="2:14" ht="20.100000000000001" customHeight="1" x14ac:dyDescent="0.25">
      <c r="B54" s="12" t="s">
        <v>20</v>
      </c>
      <c r="C54" s="3" t="s">
        <v>0</v>
      </c>
      <c r="D54" s="2" t="s">
        <v>3</v>
      </c>
      <c r="E54" s="7">
        <v>21</v>
      </c>
      <c r="F54" s="1">
        <v>12.5</v>
      </c>
      <c r="G54" s="1">
        <v>18.75</v>
      </c>
      <c r="H54" s="1">
        <v>12.5</v>
      </c>
      <c r="I54" s="8">
        <v>0.52</v>
      </c>
      <c r="J54" s="1">
        <f t="shared" si="2"/>
        <v>568.75</v>
      </c>
      <c r="K54" s="1">
        <f t="shared" si="4"/>
        <v>1137.5</v>
      </c>
      <c r="L54" s="1">
        <f t="shared" si="5"/>
        <v>71.09375</v>
      </c>
      <c r="M54" s="13">
        <f t="shared" si="3"/>
        <v>88.8671875</v>
      </c>
      <c r="N54" s="44"/>
    </row>
    <row r="55" spans="2:14" ht="20.100000000000001" customHeight="1" x14ac:dyDescent="0.25">
      <c r="B55" s="12" t="s">
        <v>19</v>
      </c>
      <c r="C55" s="3" t="s">
        <v>0</v>
      </c>
      <c r="D55" s="2" t="s">
        <v>9</v>
      </c>
      <c r="E55" s="7">
        <v>21</v>
      </c>
      <c r="F55" s="1">
        <v>12.5</v>
      </c>
      <c r="G55" s="1">
        <v>18.75</v>
      </c>
      <c r="H55" s="1">
        <v>5</v>
      </c>
      <c r="I55" s="8">
        <v>0.52</v>
      </c>
      <c r="J55" s="1">
        <f t="shared" si="2"/>
        <v>386.25</v>
      </c>
      <c r="K55" s="1">
        <f t="shared" si="4"/>
        <v>772.5</v>
      </c>
      <c r="L55" s="1">
        <f t="shared" si="5"/>
        <v>48.28125</v>
      </c>
      <c r="M55" s="13">
        <f t="shared" si="3"/>
        <v>60.3515625</v>
      </c>
      <c r="N55" s="44"/>
    </row>
    <row r="56" spans="2:14" ht="20.100000000000001" customHeight="1" x14ac:dyDescent="0.25">
      <c r="B56" s="12" t="s">
        <v>18</v>
      </c>
      <c r="C56" s="3" t="s">
        <v>0</v>
      </c>
      <c r="D56" s="2" t="s">
        <v>9</v>
      </c>
      <c r="E56" s="7">
        <v>21</v>
      </c>
      <c r="F56" s="1">
        <v>12.5</v>
      </c>
      <c r="G56" s="1">
        <v>18.75</v>
      </c>
      <c r="H56" s="1">
        <v>5</v>
      </c>
      <c r="I56" s="8">
        <v>0.52</v>
      </c>
      <c r="J56" s="1">
        <f t="shared" si="2"/>
        <v>386.25</v>
      </c>
      <c r="K56" s="1">
        <f t="shared" si="4"/>
        <v>772.5</v>
      </c>
      <c r="L56" s="1">
        <f t="shared" si="5"/>
        <v>48.28125</v>
      </c>
      <c r="M56" s="13">
        <f t="shared" si="3"/>
        <v>60.3515625</v>
      </c>
      <c r="N56" s="44"/>
    </row>
    <row r="57" spans="2:14" ht="20.100000000000001" customHeight="1" x14ac:dyDescent="0.25">
      <c r="B57" s="12" t="s">
        <v>17</v>
      </c>
      <c r="C57" s="3" t="s">
        <v>0</v>
      </c>
      <c r="D57" s="2" t="s">
        <v>9</v>
      </c>
      <c r="E57" s="7">
        <v>21</v>
      </c>
      <c r="F57" s="1">
        <v>12.5</v>
      </c>
      <c r="G57" s="1">
        <v>18.75</v>
      </c>
      <c r="H57" s="1">
        <v>5</v>
      </c>
      <c r="I57" s="8">
        <v>0.52</v>
      </c>
      <c r="J57" s="1">
        <f t="shared" si="2"/>
        <v>386.25</v>
      </c>
      <c r="K57" s="1">
        <f t="shared" si="4"/>
        <v>772.5</v>
      </c>
      <c r="L57" s="1">
        <f t="shared" si="5"/>
        <v>48.28125</v>
      </c>
      <c r="M57" s="13">
        <f t="shared" si="3"/>
        <v>60.3515625</v>
      </c>
      <c r="N57" s="44"/>
    </row>
    <row r="58" spans="2:14" ht="20.100000000000001" customHeight="1" x14ac:dyDescent="0.25">
      <c r="B58" s="12" t="s">
        <v>16</v>
      </c>
      <c r="C58" s="3" t="s">
        <v>0</v>
      </c>
      <c r="D58" s="2" t="s">
        <v>5</v>
      </c>
      <c r="E58" s="7">
        <v>21</v>
      </c>
      <c r="F58" s="1">
        <v>12.5</v>
      </c>
      <c r="G58" s="1">
        <v>18.75</v>
      </c>
      <c r="H58" s="1">
        <v>5</v>
      </c>
      <c r="I58" s="8">
        <v>0.52</v>
      </c>
      <c r="J58" s="1">
        <f t="shared" si="2"/>
        <v>386.25</v>
      </c>
      <c r="K58" s="1">
        <f t="shared" si="4"/>
        <v>772.5</v>
      </c>
      <c r="L58" s="1">
        <f t="shared" si="5"/>
        <v>48.28125</v>
      </c>
      <c r="M58" s="13">
        <f t="shared" si="3"/>
        <v>60.3515625</v>
      </c>
      <c r="N58" s="44"/>
    </row>
    <row r="59" spans="2:14" ht="20.100000000000001" customHeight="1" x14ac:dyDescent="0.25">
      <c r="B59" s="12" t="s">
        <v>15</v>
      </c>
      <c r="C59" s="3" t="s">
        <v>0</v>
      </c>
      <c r="D59" s="2" t="s">
        <v>5</v>
      </c>
      <c r="E59" s="7">
        <v>21</v>
      </c>
      <c r="F59" s="1">
        <v>12.5</v>
      </c>
      <c r="G59" s="1">
        <v>18.75</v>
      </c>
      <c r="H59" s="1">
        <v>5</v>
      </c>
      <c r="I59" s="8">
        <v>0.52</v>
      </c>
      <c r="J59" s="1">
        <f t="shared" si="2"/>
        <v>386.25</v>
      </c>
      <c r="K59" s="1">
        <f t="shared" si="4"/>
        <v>772.5</v>
      </c>
      <c r="L59" s="1">
        <f t="shared" si="5"/>
        <v>48.28125</v>
      </c>
      <c r="M59" s="13">
        <f t="shared" si="3"/>
        <v>60.3515625</v>
      </c>
      <c r="N59" s="44"/>
    </row>
    <row r="60" spans="2:14" ht="20.100000000000001" customHeight="1" x14ac:dyDescent="0.25">
      <c r="B60" s="12" t="s">
        <v>14</v>
      </c>
      <c r="C60" s="3" t="s">
        <v>0</v>
      </c>
      <c r="D60" s="2" t="s">
        <v>3</v>
      </c>
      <c r="E60" s="7">
        <v>21</v>
      </c>
      <c r="F60" s="1">
        <v>12.5</v>
      </c>
      <c r="G60" s="1">
        <v>18.75</v>
      </c>
      <c r="H60" s="1">
        <v>12.5</v>
      </c>
      <c r="I60" s="8">
        <v>0.52</v>
      </c>
      <c r="J60" s="1">
        <f t="shared" si="2"/>
        <v>568.75</v>
      </c>
      <c r="K60" s="1">
        <f t="shared" si="4"/>
        <v>1137.5</v>
      </c>
      <c r="L60" s="1">
        <f t="shared" si="5"/>
        <v>71.09375</v>
      </c>
      <c r="M60" s="13">
        <f t="shared" si="3"/>
        <v>88.8671875</v>
      </c>
      <c r="N60" s="44"/>
    </row>
    <row r="61" spans="2:14" ht="20.100000000000001" customHeight="1" x14ac:dyDescent="0.25">
      <c r="B61" s="12" t="s">
        <v>13</v>
      </c>
      <c r="C61" s="3" t="s">
        <v>0</v>
      </c>
      <c r="D61" s="2" t="s">
        <v>3</v>
      </c>
      <c r="E61" s="7">
        <v>21</v>
      </c>
      <c r="F61" s="1">
        <v>12.5</v>
      </c>
      <c r="G61" s="1">
        <v>18.75</v>
      </c>
      <c r="H61" s="1">
        <v>12.5</v>
      </c>
      <c r="I61" s="8">
        <v>0.52</v>
      </c>
      <c r="J61" s="1">
        <f t="shared" si="2"/>
        <v>568.75</v>
      </c>
      <c r="K61" s="1">
        <f t="shared" si="4"/>
        <v>1137.5</v>
      </c>
      <c r="L61" s="1">
        <f t="shared" si="5"/>
        <v>71.09375</v>
      </c>
      <c r="M61" s="13">
        <f t="shared" si="3"/>
        <v>88.8671875</v>
      </c>
      <c r="N61" s="44"/>
    </row>
    <row r="62" spans="2:14" ht="20.100000000000001" customHeight="1" x14ac:dyDescent="0.25">
      <c r="B62" s="12" t="s">
        <v>12</v>
      </c>
      <c r="C62" s="3" t="s">
        <v>0</v>
      </c>
      <c r="D62" s="2" t="s">
        <v>3</v>
      </c>
      <c r="E62" s="7">
        <v>21</v>
      </c>
      <c r="F62" s="1">
        <v>12.5</v>
      </c>
      <c r="G62" s="1">
        <v>18.75</v>
      </c>
      <c r="H62" s="1">
        <v>12.5</v>
      </c>
      <c r="I62" s="8">
        <v>0.52</v>
      </c>
      <c r="J62" s="1">
        <f t="shared" si="2"/>
        <v>568.75</v>
      </c>
      <c r="K62" s="1">
        <f t="shared" si="4"/>
        <v>1137.5</v>
      </c>
      <c r="L62" s="1">
        <f t="shared" si="5"/>
        <v>71.09375</v>
      </c>
      <c r="M62" s="13">
        <f t="shared" si="3"/>
        <v>88.8671875</v>
      </c>
      <c r="N62" s="44"/>
    </row>
    <row r="63" spans="2:14" ht="20.100000000000001" customHeight="1" x14ac:dyDescent="0.25">
      <c r="B63" s="12" t="s">
        <v>11</v>
      </c>
      <c r="C63" s="3" t="s">
        <v>0</v>
      </c>
      <c r="D63" s="2" t="s">
        <v>5</v>
      </c>
      <c r="E63" s="7">
        <v>21</v>
      </c>
      <c r="F63" s="1">
        <v>12.5</v>
      </c>
      <c r="G63" s="1">
        <v>18.75</v>
      </c>
      <c r="H63" s="1">
        <v>5</v>
      </c>
      <c r="I63" s="8">
        <v>0.52</v>
      </c>
      <c r="J63" s="1">
        <f t="shared" si="2"/>
        <v>386.25</v>
      </c>
      <c r="K63" s="1">
        <f t="shared" si="4"/>
        <v>772.5</v>
      </c>
      <c r="L63" s="1">
        <f t="shared" si="5"/>
        <v>48.28125</v>
      </c>
      <c r="M63" s="13">
        <f t="shared" si="3"/>
        <v>60.3515625</v>
      </c>
      <c r="N63" s="44"/>
    </row>
    <row r="64" spans="2:14" ht="20.100000000000001" customHeight="1" x14ac:dyDescent="0.25">
      <c r="B64" s="12" t="s">
        <v>10</v>
      </c>
      <c r="C64" s="3" t="s">
        <v>0</v>
      </c>
      <c r="D64" s="2" t="s">
        <v>9</v>
      </c>
      <c r="E64" s="7">
        <v>21</v>
      </c>
      <c r="F64" s="1">
        <v>12.5</v>
      </c>
      <c r="G64" s="1">
        <v>18.75</v>
      </c>
      <c r="H64" s="1">
        <v>5</v>
      </c>
      <c r="I64" s="8">
        <v>0.52</v>
      </c>
      <c r="J64" s="1">
        <f t="shared" si="2"/>
        <v>386.25</v>
      </c>
      <c r="K64" s="1">
        <f t="shared" si="4"/>
        <v>772.5</v>
      </c>
      <c r="L64" s="1">
        <f t="shared" si="5"/>
        <v>48.28125</v>
      </c>
      <c r="M64" s="13">
        <f t="shared" si="3"/>
        <v>60.3515625</v>
      </c>
      <c r="N64" s="44"/>
    </row>
    <row r="65" spans="2:14" ht="20.100000000000001" customHeight="1" x14ac:dyDescent="0.25">
      <c r="B65" s="12" t="s">
        <v>8</v>
      </c>
      <c r="C65" s="3" t="s">
        <v>0</v>
      </c>
      <c r="D65" s="2" t="s">
        <v>3</v>
      </c>
      <c r="E65" s="7">
        <v>21</v>
      </c>
      <c r="F65" s="1">
        <v>12.5</v>
      </c>
      <c r="G65" s="1">
        <v>18.75</v>
      </c>
      <c r="H65" s="1">
        <v>12.5</v>
      </c>
      <c r="I65" s="8">
        <v>0.52</v>
      </c>
      <c r="J65" s="1">
        <f t="shared" si="2"/>
        <v>568.75</v>
      </c>
      <c r="K65" s="1">
        <f t="shared" si="4"/>
        <v>1137.5</v>
      </c>
      <c r="L65" s="1">
        <f t="shared" si="5"/>
        <v>71.09375</v>
      </c>
      <c r="M65" s="13">
        <f t="shared" si="3"/>
        <v>88.8671875</v>
      </c>
      <c r="N65" s="44"/>
    </row>
    <row r="66" spans="2:14" ht="20.100000000000001" customHeight="1" x14ac:dyDescent="0.25">
      <c r="B66" s="12" t="s">
        <v>7</v>
      </c>
      <c r="C66" s="3" t="s">
        <v>0</v>
      </c>
      <c r="D66" s="2" t="s">
        <v>3</v>
      </c>
      <c r="E66" s="7">
        <v>21</v>
      </c>
      <c r="F66" s="1">
        <v>12.5</v>
      </c>
      <c r="G66" s="1">
        <v>18.75</v>
      </c>
      <c r="H66" s="1">
        <v>12.5</v>
      </c>
      <c r="I66" s="8">
        <v>0.52</v>
      </c>
      <c r="J66" s="1">
        <f t="shared" si="2"/>
        <v>568.75</v>
      </c>
      <c r="K66" s="1">
        <f t="shared" si="4"/>
        <v>1137.5</v>
      </c>
      <c r="L66" s="1">
        <f t="shared" si="5"/>
        <v>71.09375</v>
      </c>
      <c r="M66" s="13">
        <f t="shared" si="3"/>
        <v>88.8671875</v>
      </c>
      <c r="N66" s="44"/>
    </row>
    <row r="67" spans="2:14" ht="20.100000000000001" customHeight="1" x14ac:dyDescent="0.25">
      <c r="B67" s="12" t="s">
        <v>6</v>
      </c>
      <c r="C67" s="3" t="s">
        <v>0</v>
      </c>
      <c r="D67" s="2" t="s">
        <v>5</v>
      </c>
      <c r="E67" s="7">
        <v>21</v>
      </c>
      <c r="F67" s="1">
        <v>12.5</v>
      </c>
      <c r="G67" s="1">
        <v>18.75</v>
      </c>
      <c r="H67" s="1">
        <v>5</v>
      </c>
      <c r="I67" s="8">
        <v>0.52</v>
      </c>
      <c r="J67" s="1">
        <f t="shared" si="2"/>
        <v>386.25</v>
      </c>
      <c r="K67" s="1">
        <f t="shared" ref="K67:K70" si="6">J67*2</f>
        <v>772.5</v>
      </c>
      <c r="L67" s="1">
        <f t="shared" si="5"/>
        <v>48.28125</v>
      </c>
      <c r="M67" s="13">
        <f t="shared" si="3"/>
        <v>60.3515625</v>
      </c>
      <c r="N67" s="44"/>
    </row>
    <row r="68" spans="2:14" ht="20.100000000000001" customHeight="1" x14ac:dyDescent="0.25">
      <c r="B68" s="12" t="s">
        <v>4</v>
      </c>
      <c r="C68" s="2" t="s">
        <v>0</v>
      </c>
      <c r="D68" s="2" t="s">
        <v>3</v>
      </c>
      <c r="E68" s="7">
        <v>21</v>
      </c>
      <c r="F68" s="1">
        <v>12.5</v>
      </c>
      <c r="G68" s="1">
        <v>18.75</v>
      </c>
      <c r="H68" s="1">
        <v>12.5</v>
      </c>
      <c r="I68" s="8">
        <v>0.52</v>
      </c>
      <c r="J68" s="1">
        <f t="shared" ref="J68:J70" si="7">IF(D68="mobilization",(E68*8)/(1-I68)+SUM(F68:H68)+175,(E68*8)/(1-I68)+SUM(F68:H68))</f>
        <v>568.75</v>
      </c>
      <c r="K68" s="1">
        <f t="shared" si="6"/>
        <v>1137.5</v>
      </c>
      <c r="L68" s="1">
        <f t="shared" si="5"/>
        <v>71.09375</v>
      </c>
      <c r="M68" s="13">
        <f t="shared" ref="M68:M70" si="8">+L68*1.25</f>
        <v>88.8671875</v>
      </c>
      <c r="N68" s="44"/>
    </row>
    <row r="69" spans="2:14" ht="20.100000000000001" customHeight="1" x14ac:dyDescent="0.25">
      <c r="B69" s="12" t="s">
        <v>2</v>
      </c>
      <c r="C69" s="2" t="s">
        <v>0</v>
      </c>
      <c r="D69" s="2" t="s">
        <v>9</v>
      </c>
      <c r="E69" s="7">
        <v>21</v>
      </c>
      <c r="F69" s="1">
        <v>12.5</v>
      </c>
      <c r="G69" s="1">
        <v>18.75</v>
      </c>
      <c r="H69" s="1">
        <v>5</v>
      </c>
      <c r="I69" s="8">
        <v>0.52</v>
      </c>
      <c r="J69" s="1">
        <f t="shared" si="7"/>
        <v>386.25</v>
      </c>
      <c r="K69" s="1">
        <f t="shared" si="6"/>
        <v>772.5</v>
      </c>
      <c r="L69" s="1">
        <f t="shared" si="5"/>
        <v>48.28125</v>
      </c>
      <c r="M69" s="13">
        <f t="shared" si="8"/>
        <v>60.3515625</v>
      </c>
      <c r="N69" s="44"/>
    </row>
    <row r="70" spans="2:14" ht="20.100000000000001" customHeight="1" thickBot="1" x14ac:dyDescent="0.3">
      <c r="B70" s="14" t="s">
        <v>1</v>
      </c>
      <c r="C70" s="15" t="s">
        <v>0</v>
      </c>
      <c r="D70" s="15" t="s">
        <v>3</v>
      </c>
      <c r="E70" s="16">
        <v>21</v>
      </c>
      <c r="F70" s="1">
        <v>12.5</v>
      </c>
      <c r="G70" s="1">
        <v>18.75</v>
      </c>
      <c r="H70" s="17">
        <v>12.5</v>
      </c>
      <c r="I70" s="8">
        <v>0.52</v>
      </c>
      <c r="J70" s="17">
        <f t="shared" si="7"/>
        <v>568.75</v>
      </c>
      <c r="K70" s="17">
        <f t="shared" si="6"/>
        <v>1137.5</v>
      </c>
      <c r="L70" s="17">
        <f t="shared" si="5"/>
        <v>71.09375</v>
      </c>
      <c r="M70" s="13">
        <f t="shared" si="8"/>
        <v>88.8671875</v>
      </c>
      <c r="N70" s="44"/>
    </row>
    <row r="71" spans="2:14" ht="16.5" customHeight="1" thickTop="1" x14ac:dyDescent="0.25"/>
    <row r="72" spans="2:14" ht="16.5" customHeight="1" x14ac:dyDescent="0.25"/>
    <row r="73" spans="2:14" ht="16.5" customHeight="1" x14ac:dyDescent="0.25"/>
    <row r="74" spans="2:14" ht="16.5" customHeight="1" x14ac:dyDescent="0.25"/>
    <row r="75" spans="2:14" ht="16.5" customHeight="1" x14ac:dyDescent="0.25"/>
    <row r="76" spans="2:14" ht="16.5" customHeight="1" x14ac:dyDescent="0.25"/>
    <row r="77" spans="2:14" ht="16.5" customHeight="1" x14ac:dyDescent="0.25"/>
    <row r="78" spans="2:14" ht="16.5" customHeight="1" x14ac:dyDescent="0.25"/>
    <row r="79" spans="2:14" ht="16.5" customHeight="1" x14ac:dyDescent="0.25"/>
    <row r="80" spans="2:14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  <row r="1001" ht="16.5" customHeight="1" x14ac:dyDescent="0.25"/>
  </sheetData>
  <autoFilter ref="B2:M70" xr:uid="{499AC798-DE0D-4E08-A315-8216E222CA53}">
    <sortState xmlns:xlrd2="http://schemas.microsoft.com/office/spreadsheetml/2017/richdata2" ref="B3:M70">
      <sortCondition ref="C2:C70"/>
    </sortState>
  </autoFilter>
  <mergeCells count="3">
    <mergeCell ref="B1:D1"/>
    <mergeCell ref="F1:H1"/>
    <mergeCell ref="I1:M1"/>
  </mergeCells>
  <pageMargins left="0.7" right="0.7" top="0.75" bottom="0.75" header="0" footer="0"/>
  <pageSetup scale="6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4905-A313-46FD-B4A7-F913D5CC9B31}">
  <sheetPr codeName="Sheet2">
    <tabColor rgb="FFFF0000"/>
    <pageSetUpPr fitToPage="1"/>
  </sheetPr>
  <dimension ref="B1:R1001"/>
  <sheetViews>
    <sheetView view="pageBreakPreview" zoomScale="60" zoomScaleNormal="85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B9" sqref="B9"/>
    </sheetView>
  </sheetViews>
  <sheetFormatPr defaultColWidth="14.42578125" defaultRowHeight="15" customHeight="1" outlineLevelCol="1" x14ac:dyDescent="0.25"/>
  <cols>
    <col min="2" max="2" width="19.5703125" bestFit="1" customWidth="1"/>
    <col min="3" max="4" width="19.5703125" hidden="1" customWidth="1" outlineLevel="1"/>
    <col min="5" max="5" width="11.28515625" customWidth="1" collapsed="1"/>
    <col min="6" max="6" width="13.5703125" customWidth="1"/>
    <col min="7" max="7" width="17.42578125" customWidth="1"/>
    <col min="8" max="8" width="18.28515625" hidden="1" customWidth="1" outlineLevel="1"/>
    <col min="9" max="9" width="25" hidden="1" customWidth="1" outlineLevel="1"/>
    <col min="10" max="10" width="13.42578125" hidden="1" customWidth="1" outlineLevel="1"/>
    <col min="11" max="11" width="22.85546875" bestFit="1" customWidth="1" collapsed="1"/>
    <col min="12" max="12" width="29.28515625" bestFit="1" customWidth="1"/>
    <col min="13" max="13" width="20.140625" customWidth="1"/>
    <col min="14" max="14" width="31.28515625" bestFit="1" customWidth="1"/>
    <col min="15" max="15" width="38" customWidth="1"/>
  </cols>
  <sheetData>
    <row r="1" spans="2:15" ht="39.950000000000003" customHeight="1" thickTop="1" x14ac:dyDescent="0.25">
      <c r="B1" s="42" t="s">
        <v>90</v>
      </c>
      <c r="C1" s="43"/>
      <c r="D1" s="43"/>
      <c r="E1" s="41" t="s">
        <v>89</v>
      </c>
      <c r="F1" s="41"/>
      <c r="G1" s="41"/>
      <c r="H1" s="38" t="s">
        <v>88</v>
      </c>
      <c r="I1" s="38"/>
      <c r="J1" s="38"/>
      <c r="K1" s="39" t="s">
        <v>87</v>
      </c>
      <c r="L1" s="39"/>
      <c r="M1" s="39"/>
      <c r="N1" s="39"/>
      <c r="O1" s="40"/>
    </row>
    <row r="2" spans="2:15" ht="20.100000000000001" customHeight="1" x14ac:dyDescent="0.25">
      <c r="B2" s="18" t="s">
        <v>86</v>
      </c>
      <c r="C2" s="19" t="s">
        <v>85</v>
      </c>
      <c r="D2" s="19" t="s">
        <v>84</v>
      </c>
      <c r="E2" s="20" t="s">
        <v>83</v>
      </c>
      <c r="F2" s="20" t="s">
        <v>82</v>
      </c>
      <c r="G2" s="21" t="s">
        <v>81</v>
      </c>
      <c r="H2" s="22" t="s">
        <v>80</v>
      </c>
      <c r="I2" s="22" t="s">
        <v>79</v>
      </c>
      <c r="J2" s="22" t="s">
        <v>78</v>
      </c>
      <c r="K2" s="22" t="s">
        <v>77</v>
      </c>
      <c r="L2" s="22" t="s">
        <v>76</v>
      </c>
      <c r="M2" s="22" t="s">
        <v>75</v>
      </c>
      <c r="N2" s="22" t="s">
        <v>74</v>
      </c>
      <c r="O2" s="23" t="s">
        <v>73</v>
      </c>
    </row>
    <row r="3" spans="2:15" ht="20.100000000000001" customHeight="1" x14ac:dyDescent="0.25">
      <c r="B3" s="24" t="s">
        <v>72</v>
      </c>
      <c r="C3" s="25" t="s">
        <v>44</v>
      </c>
      <c r="D3" s="25" t="s">
        <v>3</v>
      </c>
      <c r="E3" s="26">
        <v>25.61</v>
      </c>
      <c r="F3" s="26">
        <v>19.489999999999998</v>
      </c>
      <c r="G3" s="27">
        <f t="shared" ref="G3:G34" si="0">E3+F3</f>
        <v>45.099999999999994</v>
      </c>
      <c r="H3" s="27">
        <v>12.5</v>
      </c>
      <c r="I3" s="1">
        <v>18.75</v>
      </c>
      <c r="J3" s="27">
        <v>20</v>
      </c>
      <c r="K3" s="28">
        <v>0.4</v>
      </c>
      <c r="L3" s="27">
        <f>IF(D3="mobilization",(G3*8)/(1-K3)+SUM(H3:J3)+175,(G3*8)/(1-K3)+SUM(H3:J3))</f>
        <v>827.58333333333326</v>
      </c>
      <c r="M3" s="27">
        <f t="shared" ref="M3:M34" si="1">L3*2</f>
        <v>1655.1666666666665</v>
      </c>
      <c r="N3" s="27">
        <f t="shared" ref="N3:N66" si="2">L3/8</f>
        <v>103.44791666666666</v>
      </c>
      <c r="O3" s="29">
        <f>+N3*1.2</f>
        <v>124.13749999999999</v>
      </c>
    </row>
    <row r="4" spans="2:15" ht="20.100000000000001" customHeight="1" x14ac:dyDescent="0.25">
      <c r="B4" s="24" t="s">
        <v>71</v>
      </c>
      <c r="C4" s="25" t="s">
        <v>44</v>
      </c>
      <c r="D4" s="25" t="s">
        <v>3</v>
      </c>
      <c r="E4" s="26">
        <v>31.95</v>
      </c>
      <c r="F4" s="26">
        <v>26</v>
      </c>
      <c r="G4" s="27">
        <f t="shared" si="0"/>
        <v>57.95</v>
      </c>
      <c r="H4" s="27">
        <v>12.5</v>
      </c>
      <c r="I4" s="1">
        <v>18.75</v>
      </c>
      <c r="J4" s="27">
        <v>20</v>
      </c>
      <c r="K4" s="28">
        <v>0.4</v>
      </c>
      <c r="L4" s="27">
        <f>IF(D4="mobilization",(G4*8)/(1-K4)+SUM(H4:J4)+175,(G4*8)/(1-K4)+SUM(H4:J4))</f>
        <v>998.91666666666674</v>
      </c>
      <c r="M4" s="27">
        <f t="shared" si="1"/>
        <v>1997.8333333333335</v>
      </c>
      <c r="N4" s="27">
        <f t="shared" si="2"/>
        <v>124.86458333333334</v>
      </c>
      <c r="O4" s="29">
        <f t="shared" ref="O4:O67" si="3">+N4*1.2</f>
        <v>149.83750000000001</v>
      </c>
    </row>
    <row r="5" spans="2:15" ht="20.100000000000001" customHeight="1" x14ac:dyDescent="0.25">
      <c r="B5" s="24" t="s">
        <v>70</v>
      </c>
      <c r="C5" s="25" t="s">
        <v>44</v>
      </c>
      <c r="D5" s="25" t="s">
        <v>3</v>
      </c>
      <c r="E5" s="26">
        <v>31.95</v>
      </c>
      <c r="F5" s="26">
        <v>26</v>
      </c>
      <c r="G5" s="27">
        <f t="shared" si="0"/>
        <v>57.95</v>
      </c>
      <c r="H5" s="27">
        <v>12.5</v>
      </c>
      <c r="I5" s="1">
        <v>18.75</v>
      </c>
      <c r="J5" s="27">
        <v>20</v>
      </c>
      <c r="K5" s="28">
        <v>0.4</v>
      </c>
      <c r="L5" s="27">
        <f t="shared" ref="L5:L68" si="4">IF(D5="mobilization",(G5*8)/(1-K5)+SUM(H5:J5)+175,(G5*8)/(1-K5)+SUM(H5:J5))</f>
        <v>998.91666666666674</v>
      </c>
      <c r="M5" s="27">
        <f t="shared" si="1"/>
        <v>1997.8333333333335</v>
      </c>
      <c r="N5" s="27">
        <f t="shared" si="2"/>
        <v>124.86458333333334</v>
      </c>
      <c r="O5" s="29">
        <f t="shared" si="3"/>
        <v>149.83750000000001</v>
      </c>
    </row>
    <row r="6" spans="2:15" ht="20.100000000000001" customHeight="1" x14ac:dyDescent="0.25">
      <c r="B6" s="24" t="s">
        <v>69</v>
      </c>
      <c r="C6" s="25" t="s">
        <v>44</v>
      </c>
      <c r="D6" s="25" t="s">
        <v>3</v>
      </c>
      <c r="E6" s="26">
        <v>31.95</v>
      </c>
      <c r="F6" s="26">
        <v>26</v>
      </c>
      <c r="G6" s="27">
        <f t="shared" si="0"/>
        <v>57.95</v>
      </c>
      <c r="H6" s="27">
        <v>12.5</v>
      </c>
      <c r="I6" s="1">
        <v>18.75</v>
      </c>
      <c r="J6" s="27">
        <v>20</v>
      </c>
      <c r="K6" s="28">
        <v>0.4</v>
      </c>
      <c r="L6" s="27">
        <f t="shared" si="4"/>
        <v>998.91666666666674</v>
      </c>
      <c r="M6" s="27">
        <f t="shared" si="1"/>
        <v>1997.8333333333335</v>
      </c>
      <c r="N6" s="27">
        <f t="shared" si="2"/>
        <v>124.86458333333334</v>
      </c>
      <c r="O6" s="29">
        <f t="shared" si="3"/>
        <v>149.83750000000001</v>
      </c>
    </row>
    <row r="7" spans="2:15" ht="20.100000000000001" customHeight="1" x14ac:dyDescent="0.25">
      <c r="B7" s="24" t="s">
        <v>44</v>
      </c>
      <c r="C7" s="25" t="s">
        <v>44</v>
      </c>
      <c r="D7" s="25" t="s">
        <v>5</v>
      </c>
      <c r="E7" s="26">
        <v>31.95</v>
      </c>
      <c r="F7" s="26">
        <v>26</v>
      </c>
      <c r="G7" s="27">
        <f t="shared" si="0"/>
        <v>57.95</v>
      </c>
      <c r="H7" s="27">
        <v>12.5</v>
      </c>
      <c r="I7" s="1">
        <v>18.75</v>
      </c>
      <c r="J7" s="27">
        <v>5</v>
      </c>
      <c r="K7" s="28">
        <v>0.32</v>
      </c>
      <c r="L7" s="27">
        <f t="shared" si="4"/>
        <v>718.01470588235304</v>
      </c>
      <c r="M7" s="27">
        <f t="shared" si="1"/>
        <v>1436.0294117647061</v>
      </c>
      <c r="N7" s="27">
        <f t="shared" si="2"/>
        <v>89.75183823529413</v>
      </c>
      <c r="O7" s="29">
        <f t="shared" si="3"/>
        <v>107.70220588235296</v>
      </c>
    </row>
    <row r="8" spans="2:15" ht="20.100000000000001" customHeight="1" x14ac:dyDescent="0.25">
      <c r="B8" s="24" t="s">
        <v>68</v>
      </c>
      <c r="C8" s="25" t="s">
        <v>44</v>
      </c>
      <c r="D8" s="25" t="s">
        <v>5</v>
      </c>
      <c r="E8" s="26">
        <v>31.95</v>
      </c>
      <c r="F8" s="26">
        <v>26</v>
      </c>
      <c r="G8" s="27">
        <f t="shared" si="0"/>
        <v>57.95</v>
      </c>
      <c r="H8" s="27">
        <v>12.5</v>
      </c>
      <c r="I8" s="1">
        <v>18.75</v>
      </c>
      <c r="J8" s="27">
        <v>5</v>
      </c>
      <c r="K8" s="28">
        <v>0.32</v>
      </c>
      <c r="L8" s="27">
        <f t="shared" si="4"/>
        <v>718.01470588235304</v>
      </c>
      <c r="M8" s="27">
        <f t="shared" si="1"/>
        <v>1436.0294117647061</v>
      </c>
      <c r="N8" s="27">
        <f t="shared" si="2"/>
        <v>89.75183823529413</v>
      </c>
      <c r="O8" s="29">
        <f t="shared" si="3"/>
        <v>107.70220588235296</v>
      </c>
    </row>
    <row r="9" spans="2:15" ht="20.100000000000001" customHeight="1" x14ac:dyDescent="0.25">
      <c r="B9" s="24" t="s">
        <v>67</v>
      </c>
      <c r="C9" s="25" t="s">
        <v>44</v>
      </c>
      <c r="D9" s="25" t="s">
        <v>3</v>
      </c>
      <c r="E9" s="26">
        <v>31.95</v>
      </c>
      <c r="F9" s="26">
        <v>26</v>
      </c>
      <c r="G9" s="27">
        <f t="shared" si="0"/>
        <v>57.95</v>
      </c>
      <c r="H9" s="27">
        <v>12.5</v>
      </c>
      <c r="I9" s="1">
        <v>18.75</v>
      </c>
      <c r="J9" s="27">
        <v>20</v>
      </c>
      <c r="K9" s="28">
        <v>0.4</v>
      </c>
      <c r="L9" s="27">
        <f t="shared" si="4"/>
        <v>998.91666666666674</v>
      </c>
      <c r="M9" s="27">
        <f t="shared" si="1"/>
        <v>1997.8333333333335</v>
      </c>
      <c r="N9" s="27">
        <f t="shared" si="2"/>
        <v>124.86458333333334</v>
      </c>
      <c r="O9" s="29">
        <f t="shared" si="3"/>
        <v>149.83750000000001</v>
      </c>
    </row>
    <row r="10" spans="2:15" ht="20.100000000000001" customHeight="1" x14ac:dyDescent="0.25">
      <c r="B10" s="24" t="s">
        <v>66</v>
      </c>
      <c r="C10" s="25" t="s">
        <v>44</v>
      </c>
      <c r="D10" s="25" t="s">
        <v>5</v>
      </c>
      <c r="E10" s="26">
        <v>31.95</v>
      </c>
      <c r="F10" s="26">
        <v>26</v>
      </c>
      <c r="G10" s="27">
        <f t="shared" si="0"/>
        <v>57.95</v>
      </c>
      <c r="H10" s="27">
        <v>12.5</v>
      </c>
      <c r="I10" s="1">
        <v>18.75</v>
      </c>
      <c r="J10" s="27">
        <v>3</v>
      </c>
      <c r="K10" s="28">
        <v>0.35</v>
      </c>
      <c r="L10" s="27">
        <f t="shared" si="4"/>
        <v>747.48076923076928</v>
      </c>
      <c r="M10" s="27">
        <f t="shared" si="1"/>
        <v>1494.9615384615386</v>
      </c>
      <c r="N10" s="27">
        <f t="shared" si="2"/>
        <v>93.43509615384616</v>
      </c>
      <c r="O10" s="29">
        <f t="shared" si="3"/>
        <v>112.12211538461538</v>
      </c>
    </row>
    <row r="11" spans="2:15" ht="20.100000000000001" customHeight="1" x14ac:dyDescent="0.25">
      <c r="B11" s="24" t="s">
        <v>65</v>
      </c>
      <c r="C11" s="25" t="s">
        <v>44</v>
      </c>
      <c r="D11" s="25" t="s">
        <v>3</v>
      </c>
      <c r="E11" s="26">
        <v>31.95</v>
      </c>
      <c r="F11" s="26">
        <v>26</v>
      </c>
      <c r="G11" s="27">
        <f t="shared" si="0"/>
        <v>57.95</v>
      </c>
      <c r="H11" s="27">
        <v>12.5</v>
      </c>
      <c r="I11" s="1">
        <v>18.75</v>
      </c>
      <c r="J11" s="27">
        <v>20</v>
      </c>
      <c r="K11" s="28">
        <v>0.4</v>
      </c>
      <c r="L11" s="27">
        <f t="shared" si="4"/>
        <v>998.91666666666674</v>
      </c>
      <c r="M11" s="27">
        <f t="shared" si="1"/>
        <v>1997.8333333333335</v>
      </c>
      <c r="N11" s="27">
        <f t="shared" si="2"/>
        <v>124.86458333333334</v>
      </c>
      <c r="O11" s="29">
        <f t="shared" si="3"/>
        <v>149.83750000000001</v>
      </c>
    </row>
    <row r="12" spans="2:15" ht="20.100000000000001" customHeight="1" x14ac:dyDescent="0.25">
      <c r="B12" s="24" t="s">
        <v>64</v>
      </c>
      <c r="C12" s="30" t="s">
        <v>44</v>
      </c>
      <c r="D12" s="25" t="s">
        <v>3</v>
      </c>
      <c r="E12" s="26">
        <v>31.95</v>
      </c>
      <c r="F12" s="26">
        <v>26</v>
      </c>
      <c r="G12" s="27">
        <f t="shared" si="0"/>
        <v>57.95</v>
      </c>
      <c r="H12" s="27">
        <v>12.5</v>
      </c>
      <c r="I12" s="1">
        <v>18.75</v>
      </c>
      <c r="J12" s="27">
        <v>20</v>
      </c>
      <c r="K12" s="28">
        <v>0.4</v>
      </c>
      <c r="L12" s="27">
        <f t="shared" si="4"/>
        <v>998.91666666666674</v>
      </c>
      <c r="M12" s="27">
        <f t="shared" si="1"/>
        <v>1997.8333333333335</v>
      </c>
      <c r="N12" s="27">
        <f t="shared" si="2"/>
        <v>124.86458333333334</v>
      </c>
      <c r="O12" s="29">
        <f t="shared" si="3"/>
        <v>149.83750000000001</v>
      </c>
    </row>
    <row r="13" spans="2:15" ht="20.100000000000001" customHeight="1" x14ac:dyDescent="0.25">
      <c r="B13" s="24" t="s">
        <v>63</v>
      </c>
      <c r="C13" s="30" t="s">
        <v>44</v>
      </c>
      <c r="D13" s="25" t="s">
        <v>9</v>
      </c>
      <c r="E13" s="26">
        <v>31.95</v>
      </c>
      <c r="F13" s="26">
        <v>26</v>
      </c>
      <c r="G13" s="27">
        <f t="shared" si="0"/>
        <v>57.95</v>
      </c>
      <c r="H13" s="27">
        <v>12.5</v>
      </c>
      <c r="I13" s="1">
        <v>18.75</v>
      </c>
      <c r="J13" s="27">
        <v>15</v>
      </c>
      <c r="K13" s="28">
        <v>0.35</v>
      </c>
      <c r="L13" s="27">
        <f t="shared" si="4"/>
        <v>759.48076923076928</v>
      </c>
      <c r="M13" s="27">
        <f t="shared" si="1"/>
        <v>1518.9615384615386</v>
      </c>
      <c r="N13" s="27">
        <f t="shared" si="2"/>
        <v>94.93509615384616</v>
      </c>
      <c r="O13" s="29">
        <f t="shared" si="3"/>
        <v>113.9221153846154</v>
      </c>
    </row>
    <row r="14" spans="2:15" ht="20.100000000000001" customHeight="1" x14ac:dyDescent="0.25">
      <c r="B14" s="24" t="s">
        <v>62</v>
      </c>
      <c r="C14" s="30" t="s">
        <v>44</v>
      </c>
      <c r="D14" s="25" t="s">
        <v>3</v>
      </c>
      <c r="E14" s="26">
        <v>31.95</v>
      </c>
      <c r="F14" s="26">
        <v>26</v>
      </c>
      <c r="G14" s="27">
        <f t="shared" si="0"/>
        <v>57.95</v>
      </c>
      <c r="H14" s="27">
        <v>12.5</v>
      </c>
      <c r="I14" s="1">
        <v>18.75</v>
      </c>
      <c r="J14" s="27">
        <v>20</v>
      </c>
      <c r="K14" s="28">
        <v>0.4</v>
      </c>
      <c r="L14" s="27">
        <f t="shared" si="4"/>
        <v>998.91666666666674</v>
      </c>
      <c r="M14" s="27">
        <f t="shared" si="1"/>
        <v>1997.8333333333335</v>
      </c>
      <c r="N14" s="27">
        <f t="shared" si="2"/>
        <v>124.86458333333334</v>
      </c>
      <c r="O14" s="29">
        <f t="shared" si="3"/>
        <v>149.83750000000001</v>
      </c>
    </row>
    <row r="15" spans="2:15" ht="20.100000000000001" customHeight="1" x14ac:dyDescent="0.25">
      <c r="B15" s="24" t="s">
        <v>61</v>
      </c>
      <c r="C15" s="30" t="s">
        <v>44</v>
      </c>
      <c r="D15" s="25" t="s">
        <v>3</v>
      </c>
      <c r="E15" s="26">
        <v>31.95</v>
      </c>
      <c r="F15" s="26">
        <v>26</v>
      </c>
      <c r="G15" s="27">
        <f t="shared" si="0"/>
        <v>57.95</v>
      </c>
      <c r="H15" s="27">
        <v>12.5</v>
      </c>
      <c r="I15" s="1">
        <v>18.75</v>
      </c>
      <c r="J15" s="27">
        <v>20</v>
      </c>
      <c r="K15" s="28">
        <v>0.4</v>
      </c>
      <c r="L15" s="27">
        <f t="shared" si="4"/>
        <v>998.91666666666674</v>
      </c>
      <c r="M15" s="27">
        <f t="shared" si="1"/>
        <v>1997.8333333333335</v>
      </c>
      <c r="N15" s="27">
        <f t="shared" si="2"/>
        <v>124.86458333333334</v>
      </c>
      <c r="O15" s="29">
        <f t="shared" si="3"/>
        <v>149.83750000000001</v>
      </c>
    </row>
    <row r="16" spans="2:15" ht="20.100000000000001" customHeight="1" x14ac:dyDescent="0.25">
      <c r="B16" s="24" t="s">
        <v>60</v>
      </c>
      <c r="C16" s="30" t="s">
        <v>44</v>
      </c>
      <c r="D16" s="25" t="s">
        <v>3</v>
      </c>
      <c r="E16" s="26">
        <v>31.95</v>
      </c>
      <c r="F16" s="26">
        <v>26</v>
      </c>
      <c r="G16" s="27">
        <f t="shared" si="0"/>
        <v>57.95</v>
      </c>
      <c r="H16" s="27">
        <v>12.5</v>
      </c>
      <c r="I16" s="1">
        <v>18.75</v>
      </c>
      <c r="J16" s="27">
        <v>20</v>
      </c>
      <c r="K16" s="28">
        <v>0.4</v>
      </c>
      <c r="L16" s="27">
        <f t="shared" si="4"/>
        <v>998.91666666666674</v>
      </c>
      <c r="M16" s="27">
        <f t="shared" si="1"/>
        <v>1997.8333333333335</v>
      </c>
      <c r="N16" s="27">
        <f t="shared" si="2"/>
        <v>124.86458333333334</v>
      </c>
      <c r="O16" s="29">
        <f t="shared" si="3"/>
        <v>149.83750000000001</v>
      </c>
    </row>
    <row r="17" spans="2:15" ht="20.100000000000001" customHeight="1" x14ac:dyDescent="0.25">
      <c r="B17" s="24" t="s">
        <v>59</v>
      </c>
      <c r="C17" s="30" t="s">
        <v>44</v>
      </c>
      <c r="D17" s="25" t="s">
        <v>3</v>
      </c>
      <c r="E17" s="26">
        <v>31.95</v>
      </c>
      <c r="F17" s="26">
        <v>26</v>
      </c>
      <c r="G17" s="27">
        <f t="shared" si="0"/>
        <v>57.95</v>
      </c>
      <c r="H17" s="27">
        <v>12.5</v>
      </c>
      <c r="I17" s="1">
        <v>18.75</v>
      </c>
      <c r="J17" s="27">
        <v>20</v>
      </c>
      <c r="K17" s="28">
        <v>0.4</v>
      </c>
      <c r="L17" s="27">
        <f t="shared" si="4"/>
        <v>998.91666666666674</v>
      </c>
      <c r="M17" s="27">
        <f t="shared" si="1"/>
        <v>1997.8333333333335</v>
      </c>
      <c r="N17" s="27">
        <f t="shared" si="2"/>
        <v>124.86458333333334</v>
      </c>
      <c r="O17" s="29">
        <f t="shared" si="3"/>
        <v>149.83750000000001</v>
      </c>
    </row>
    <row r="18" spans="2:15" ht="20.100000000000001" customHeight="1" x14ac:dyDescent="0.25">
      <c r="B18" s="24" t="s">
        <v>58</v>
      </c>
      <c r="C18" s="30" t="s">
        <v>44</v>
      </c>
      <c r="D18" s="25" t="s">
        <v>3</v>
      </c>
      <c r="E18" s="26">
        <v>31.95</v>
      </c>
      <c r="F18" s="26">
        <v>26</v>
      </c>
      <c r="G18" s="27">
        <f t="shared" si="0"/>
        <v>57.95</v>
      </c>
      <c r="H18" s="27">
        <v>12.5</v>
      </c>
      <c r="I18" s="1">
        <v>18.75</v>
      </c>
      <c r="J18" s="27">
        <v>20</v>
      </c>
      <c r="K18" s="28">
        <v>0.4</v>
      </c>
      <c r="L18" s="27">
        <f t="shared" si="4"/>
        <v>998.91666666666674</v>
      </c>
      <c r="M18" s="27">
        <f t="shared" si="1"/>
        <v>1997.8333333333335</v>
      </c>
      <c r="N18" s="27">
        <f t="shared" si="2"/>
        <v>124.86458333333334</v>
      </c>
      <c r="O18" s="29">
        <f t="shared" si="3"/>
        <v>149.83750000000001</v>
      </c>
    </row>
    <row r="19" spans="2:15" ht="20.100000000000001" customHeight="1" x14ac:dyDescent="0.25">
      <c r="B19" s="24" t="s">
        <v>57</v>
      </c>
      <c r="C19" s="30" t="s">
        <v>44</v>
      </c>
      <c r="D19" s="25" t="s">
        <v>9</v>
      </c>
      <c r="E19" s="26">
        <v>31.95</v>
      </c>
      <c r="F19" s="26">
        <v>26</v>
      </c>
      <c r="G19" s="27">
        <f t="shared" si="0"/>
        <v>57.95</v>
      </c>
      <c r="H19" s="27">
        <v>12.5</v>
      </c>
      <c r="I19" s="1">
        <v>18.75</v>
      </c>
      <c r="J19" s="27">
        <v>7.5</v>
      </c>
      <c r="K19" s="28">
        <v>0.32</v>
      </c>
      <c r="L19" s="27">
        <f t="shared" si="4"/>
        <v>720.51470588235304</v>
      </c>
      <c r="M19" s="27">
        <f t="shared" si="1"/>
        <v>1441.0294117647061</v>
      </c>
      <c r="N19" s="27">
        <f t="shared" si="2"/>
        <v>90.06433823529413</v>
      </c>
      <c r="O19" s="29">
        <f t="shared" si="3"/>
        <v>108.07720588235296</v>
      </c>
    </row>
    <row r="20" spans="2:15" ht="20.100000000000001" customHeight="1" x14ac:dyDescent="0.25">
      <c r="B20" s="24" t="s">
        <v>56</v>
      </c>
      <c r="C20" s="30" t="s">
        <v>44</v>
      </c>
      <c r="D20" s="25" t="s">
        <v>3</v>
      </c>
      <c r="E20" s="26">
        <v>31.95</v>
      </c>
      <c r="F20" s="26">
        <v>26</v>
      </c>
      <c r="G20" s="27">
        <f t="shared" si="0"/>
        <v>57.95</v>
      </c>
      <c r="H20" s="27">
        <v>12.5</v>
      </c>
      <c r="I20" s="1">
        <v>18.75</v>
      </c>
      <c r="J20" s="27">
        <v>20</v>
      </c>
      <c r="K20" s="28">
        <v>0.4</v>
      </c>
      <c r="L20" s="27">
        <f t="shared" si="4"/>
        <v>998.91666666666674</v>
      </c>
      <c r="M20" s="27">
        <f t="shared" si="1"/>
        <v>1997.8333333333335</v>
      </c>
      <c r="N20" s="27">
        <f t="shared" si="2"/>
        <v>124.86458333333334</v>
      </c>
      <c r="O20" s="29">
        <f t="shared" si="3"/>
        <v>149.83750000000001</v>
      </c>
    </row>
    <row r="21" spans="2:15" ht="20.100000000000001" customHeight="1" x14ac:dyDescent="0.25">
      <c r="B21" s="24" t="s">
        <v>55</v>
      </c>
      <c r="C21" s="30" t="s">
        <v>44</v>
      </c>
      <c r="D21" s="25" t="s">
        <v>5</v>
      </c>
      <c r="E21" s="26">
        <v>31.95</v>
      </c>
      <c r="F21" s="26">
        <v>26</v>
      </c>
      <c r="G21" s="27">
        <f t="shared" si="0"/>
        <v>57.95</v>
      </c>
      <c r="H21" s="27">
        <v>12.5</v>
      </c>
      <c r="I21" s="1">
        <v>18.75</v>
      </c>
      <c r="J21" s="27">
        <v>3</v>
      </c>
      <c r="K21" s="28">
        <v>0.32</v>
      </c>
      <c r="L21" s="27">
        <f t="shared" si="4"/>
        <v>716.01470588235304</v>
      </c>
      <c r="M21" s="27">
        <f t="shared" si="1"/>
        <v>1432.0294117647061</v>
      </c>
      <c r="N21" s="27">
        <f t="shared" si="2"/>
        <v>89.50183823529413</v>
      </c>
      <c r="O21" s="29">
        <f t="shared" si="3"/>
        <v>107.40220588235296</v>
      </c>
    </row>
    <row r="22" spans="2:15" ht="20.100000000000001" customHeight="1" x14ac:dyDescent="0.25">
      <c r="B22" s="24" t="s">
        <v>54</v>
      </c>
      <c r="C22" s="30" t="s">
        <v>44</v>
      </c>
      <c r="D22" s="25" t="s">
        <v>3</v>
      </c>
      <c r="E22" s="26">
        <v>31.95</v>
      </c>
      <c r="F22" s="26">
        <v>26</v>
      </c>
      <c r="G22" s="27">
        <f t="shared" si="0"/>
        <v>57.95</v>
      </c>
      <c r="H22" s="27">
        <v>12.5</v>
      </c>
      <c r="I22" s="1">
        <v>18.75</v>
      </c>
      <c r="J22" s="27">
        <v>20</v>
      </c>
      <c r="K22" s="28">
        <v>0.4</v>
      </c>
      <c r="L22" s="27">
        <f t="shared" si="4"/>
        <v>998.91666666666674</v>
      </c>
      <c r="M22" s="27">
        <f t="shared" si="1"/>
        <v>1997.8333333333335</v>
      </c>
      <c r="N22" s="27">
        <f t="shared" si="2"/>
        <v>124.86458333333334</v>
      </c>
      <c r="O22" s="29">
        <f t="shared" si="3"/>
        <v>149.83750000000001</v>
      </c>
    </row>
    <row r="23" spans="2:15" ht="20.100000000000001" customHeight="1" x14ac:dyDescent="0.25">
      <c r="B23" s="24" t="s">
        <v>53</v>
      </c>
      <c r="C23" s="30" t="s">
        <v>44</v>
      </c>
      <c r="D23" s="25" t="s">
        <v>3</v>
      </c>
      <c r="E23" s="26">
        <v>31.95</v>
      </c>
      <c r="F23" s="26">
        <v>26</v>
      </c>
      <c r="G23" s="27">
        <f t="shared" si="0"/>
        <v>57.95</v>
      </c>
      <c r="H23" s="27">
        <v>12.5</v>
      </c>
      <c r="I23" s="1">
        <v>18.75</v>
      </c>
      <c r="J23" s="27">
        <v>20</v>
      </c>
      <c r="K23" s="28">
        <v>0.4</v>
      </c>
      <c r="L23" s="27">
        <f t="shared" si="4"/>
        <v>998.91666666666674</v>
      </c>
      <c r="M23" s="27">
        <f t="shared" si="1"/>
        <v>1997.8333333333335</v>
      </c>
      <c r="N23" s="27">
        <f t="shared" si="2"/>
        <v>124.86458333333334</v>
      </c>
      <c r="O23" s="29">
        <f t="shared" si="3"/>
        <v>149.83750000000001</v>
      </c>
    </row>
    <row r="24" spans="2:15" ht="20.100000000000001" customHeight="1" x14ac:dyDescent="0.25">
      <c r="B24" s="24" t="s">
        <v>52</v>
      </c>
      <c r="C24" s="30" t="s">
        <v>44</v>
      </c>
      <c r="D24" s="25" t="s">
        <v>3</v>
      </c>
      <c r="E24" s="26">
        <v>31.95</v>
      </c>
      <c r="F24" s="26">
        <v>26</v>
      </c>
      <c r="G24" s="27">
        <f t="shared" si="0"/>
        <v>57.95</v>
      </c>
      <c r="H24" s="27">
        <v>12.5</v>
      </c>
      <c r="I24" s="1">
        <v>18.75</v>
      </c>
      <c r="J24" s="27">
        <v>20</v>
      </c>
      <c r="K24" s="28">
        <v>0.4</v>
      </c>
      <c r="L24" s="27">
        <f t="shared" si="4"/>
        <v>998.91666666666674</v>
      </c>
      <c r="M24" s="27">
        <f t="shared" si="1"/>
        <v>1997.8333333333335</v>
      </c>
      <c r="N24" s="27">
        <f t="shared" si="2"/>
        <v>124.86458333333334</v>
      </c>
      <c r="O24" s="29">
        <f t="shared" si="3"/>
        <v>149.83750000000001</v>
      </c>
    </row>
    <row r="25" spans="2:15" ht="20.100000000000001" customHeight="1" x14ac:dyDescent="0.25">
      <c r="B25" s="24" t="s">
        <v>51</v>
      </c>
      <c r="C25" s="30" t="s">
        <v>44</v>
      </c>
      <c r="D25" s="25" t="s">
        <v>3</v>
      </c>
      <c r="E25" s="26">
        <v>31.95</v>
      </c>
      <c r="F25" s="26">
        <v>26</v>
      </c>
      <c r="G25" s="27">
        <f t="shared" si="0"/>
        <v>57.95</v>
      </c>
      <c r="H25" s="27">
        <v>12.5</v>
      </c>
      <c r="I25" s="1">
        <v>18.75</v>
      </c>
      <c r="J25" s="27">
        <v>20</v>
      </c>
      <c r="K25" s="28">
        <v>0.4</v>
      </c>
      <c r="L25" s="27">
        <f t="shared" si="4"/>
        <v>998.91666666666674</v>
      </c>
      <c r="M25" s="27">
        <f t="shared" si="1"/>
        <v>1997.8333333333335</v>
      </c>
      <c r="N25" s="27">
        <f t="shared" si="2"/>
        <v>124.86458333333334</v>
      </c>
      <c r="O25" s="29">
        <f t="shared" si="3"/>
        <v>149.83750000000001</v>
      </c>
    </row>
    <row r="26" spans="2:15" ht="20.100000000000001" customHeight="1" x14ac:dyDescent="0.25">
      <c r="B26" s="24" t="s">
        <v>50</v>
      </c>
      <c r="C26" s="30" t="s">
        <v>44</v>
      </c>
      <c r="D26" s="25" t="s">
        <v>3</v>
      </c>
      <c r="E26" s="26">
        <v>31.95</v>
      </c>
      <c r="F26" s="26">
        <v>26</v>
      </c>
      <c r="G26" s="27">
        <f t="shared" si="0"/>
        <v>57.95</v>
      </c>
      <c r="H26" s="27">
        <v>12.5</v>
      </c>
      <c r="I26" s="1">
        <v>18.75</v>
      </c>
      <c r="J26" s="27">
        <v>20</v>
      </c>
      <c r="K26" s="28">
        <v>0.4</v>
      </c>
      <c r="L26" s="27">
        <f t="shared" si="4"/>
        <v>998.91666666666674</v>
      </c>
      <c r="M26" s="27">
        <f t="shared" si="1"/>
        <v>1997.8333333333335</v>
      </c>
      <c r="N26" s="27">
        <f t="shared" si="2"/>
        <v>124.86458333333334</v>
      </c>
      <c r="O26" s="29">
        <f t="shared" si="3"/>
        <v>149.83750000000001</v>
      </c>
    </row>
    <row r="27" spans="2:15" ht="20.100000000000001" customHeight="1" x14ac:dyDescent="0.25">
      <c r="B27" s="24" t="s">
        <v>49</v>
      </c>
      <c r="C27" s="30" t="s">
        <v>44</v>
      </c>
      <c r="D27" s="25" t="s">
        <v>9</v>
      </c>
      <c r="E27" s="26">
        <v>31.95</v>
      </c>
      <c r="F27" s="26">
        <v>26</v>
      </c>
      <c r="G27" s="27">
        <f t="shared" si="0"/>
        <v>57.95</v>
      </c>
      <c r="H27" s="27">
        <v>12.5</v>
      </c>
      <c r="I27" s="1">
        <v>18.75</v>
      </c>
      <c r="J27" s="27">
        <v>7.5</v>
      </c>
      <c r="K27" s="28">
        <v>0.32</v>
      </c>
      <c r="L27" s="27">
        <f t="shared" si="4"/>
        <v>720.51470588235304</v>
      </c>
      <c r="M27" s="27">
        <f t="shared" si="1"/>
        <v>1441.0294117647061</v>
      </c>
      <c r="N27" s="27">
        <f t="shared" si="2"/>
        <v>90.06433823529413</v>
      </c>
      <c r="O27" s="29">
        <f t="shared" si="3"/>
        <v>108.07720588235296</v>
      </c>
    </row>
    <row r="28" spans="2:15" ht="20.100000000000001" customHeight="1" x14ac:dyDescent="0.25">
      <c r="B28" s="24" t="s">
        <v>48</v>
      </c>
      <c r="C28" s="30" t="s">
        <v>44</v>
      </c>
      <c r="D28" s="25" t="s">
        <v>3</v>
      </c>
      <c r="E28" s="26">
        <v>31.95</v>
      </c>
      <c r="F28" s="26">
        <v>26</v>
      </c>
      <c r="G28" s="27">
        <f t="shared" si="0"/>
        <v>57.95</v>
      </c>
      <c r="H28" s="27">
        <v>12.5</v>
      </c>
      <c r="I28" s="1">
        <v>18.75</v>
      </c>
      <c r="J28" s="27">
        <v>20</v>
      </c>
      <c r="K28" s="28">
        <v>0.4</v>
      </c>
      <c r="L28" s="27">
        <f t="shared" si="4"/>
        <v>998.91666666666674</v>
      </c>
      <c r="M28" s="27">
        <f t="shared" si="1"/>
        <v>1997.8333333333335</v>
      </c>
      <c r="N28" s="27">
        <f t="shared" si="2"/>
        <v>124.86458333333334</v>
      </c>
      <c r="O28" s="29">
        <f t="shared" si="3"/>
        <v>149.83750000000001</v>
      </c>
    </row>
    <row r="29" spans="2:15" ht="20.100000000000001" customHeight="1" x14ac:dyDescent="0.25">
      <c r="B29" s="24" t="s">
        <v>47</v>
      </c>
      <c r="C29" s="30" t="s">
        <v>44</v>
      </c>
      <c r="D29" s="25" t="s">
        <v>3</v>
      </c>
      <c r="E29" s="26">
        <v>31.95</v>
      </c>
      <c r="F29" s="26">
        <v>26</v>
      </c>
      <c r="G29" s="27">
        <f t="shared" si="0"/>
        <v>57.95</v>
      </c>
      <c r="H29" s="27">
        <v>12.5</v>
      </c>
      <c r="I29" s="1">
        <v>18.75</v>
      </c>
      <c r="J29" s="27">
        <v>20</v>
      </c>
      <c r="K29" s="28">
        <v>0.4</v>
      </c>
      <c r="L29" s="27">
        <f t="shared" si="4"/>
        <v>998.91666666666674</v>
      </c>
      <c r="M29" s="27">
        <f t="shared" si="1"/>
        <v>1997.8333333333335</v>
      </c>
      <c r="N29" s="27">
        <f t="shared" si="2"/>
        <v>124.86458333333334</v>
      </c>
      <c r="O29" s="29">
        <f t="shared" si="3"/>
        <v>149.83750000000001</v>
      </c>
    </row>
    <row r="30" spans="2:15" ht="20.100000000000001" customHeight="1" x14ac:dyDescent="0.25">
      <c r="B30" s="24" t="s">
        <v>46</v>
      </c>
      <c r="C30" s="25" t="s">
        <v>44</v>
      </c>
      <c r="D30" s="25" t="s">
        <v>3</v>
      </c>
      <c r="E30" s="26">
        <v>31.95</v>
      </c>
      <c r="F30" s="26">
        <v>26</v>
      </c>
      <c r="G30" s="27">
        <f t="shared" si="0"/>
        <v>57.95</v>
      </c>
      <c r="H30" s="27">
        <v>12.5</v>
      </c>
      <c r="I30" s="1">
        <v>18.75</v>
      </c>
      <c r="J30" s="27">
        <v>20</v>
      </c>
      <c r="K30" s="28">
        <v>0.4</v>
      </c>
      <c r="L30" s="27">
        <f t="shared" si="4"/>
        <v>998.91666666666674</v>
      </c>
      <c r="M30" s="27">
        <f t="shared" si="1"/>
        <v>1997.8333333333335</v>
      </c>
      <c r="N30" s="27">
        <f t="shared" si="2"/>
        <v>124.86458333333334</v>
      </c>
      <c r="O30" s="29">
        <f t="shared" si="3"/>
        <v>149.83750000000001</v>
      </c>
    </row>
    <row r="31" spans="2:15" ht="20.100000000000001" customHeight="1" x14ac:dyDescent="0.25">
      <c r="B31" s="24" t="s">
        <v>45</v>
      </c>
      <c r="C31" s="25" t="s">
        <v>44</v>
      </c>
      <c r="D31" s="25" t="s">
        <v>3</v>
      </c>
      <c r="E31" s="26">
        <v>31.95</v>
      </c>
      <c r="F31" s="26">
        <v>26</v>
      </c>
      <c r="G31" s="27">
        <f t="shared" si="0"/>
        <v>57.95</v>
      </c>
      <c r="H31" s="27">
        <v>12.5</v>
      </c>
      <c r="I31" s="1">
        <v>18.75</v>
      </c>
      <c r="J31" s="27">
        <v>10</v>
      </c>
      <c r="K31" s="28">
        <v>0.35</v>
      </c>
      <c r="L31" s="27">
        <f t="shared" si="4"/>
        <v>929.48076923076928</v>
      </c>
      <c r="M31" s="27">
        <f t="shared" si="1"/>
        <v>1858.9615384615386</v>
      </c>
      <c r="N31" s="27">
        <f t="shared" si="2"/>
        <v>116.18509615384616</v>
      </c>
      <c r="O31" s="29">
        <f t="shared" si="3"/>
        <v>139.42211538461538</v>
      </c>
    </row>
    <row r="32" spans="2:15" ht="20.100000000000001" customHeight="1" x14ac:dyDescent="0.25">
      <c r="B32" s="24" t="s">
        <v>43</v>
      </c>
      <c r="C32" s="25" t="s">
        <v>29</v>
      </c>
      <c r="D32" s="25" t="s">
        <v>5</v>
      </c>
      <c r="E32" s="26">
        <v>25.61</v>
      </c>
      <c r="F32" s="26">
        <v>19.489999999999998</v>
      </c>
      <c r="G32" s="27">
        <f t="shared" si="0"/>
        <v>45.099999999999994</v>
      </c>
      <c r="H32" s="27">
        <v>12.5</v>
      </c>
      <c r="I32" s="1">
        <v>18.75</v>
      </c>
      <c r="J32" s="27">
        <v>3</v>
      </c>
      <c r="K32" s="28">
        <v>0.4</v>
      </c>
      <c r="L32" s="27">
        <f t="shared" si="4"/>
        <v>635.58333333333326</v>
      </c>
      <c r="M32" s="27">
        <f t="shared" si="1"/>
        <v>1271.1666666666665</v>
      </c>
      <c r="N32" s="27">
        <f t="shared" si="2"/>
        <v>79.447916666666657</v>
      </c>
      <c r="O32" s="29">
        <f t="shared" si="3"/>
        <v>95.337499999999991</v>
      </c>
    </row>
    <row r="33" spans="2:15" ht="20.100000000000001" customHeight="1" x14ac:dyDescent="0.25">
      <c r="B33" s="24" t="s">
        <v>42</v>
      </c>
      <c r="C33" s="30" t="s">
        <v>29</v>
      </c>
      <c r="D33" s="25" t="s">
        <v>5</v>
      </c>
      <c r="E33" s="31">
        <v>33.6</v>
      </c>
      <c r="F33" s="31">
        <v>26.99</v>
      </c>
      <c r="G33" s="27">
        <f t="shared" si="0"/>
        <v>60.59</v>
      </c>
      <c r="H33" s="27">
        <v>12.5</v>
      </c>
      <c r="I33" s="1">
        <v>18.75</v>
      </c>
      <c r="J33" s="27">
        <v>3</v>
      </c>
      <c r="K33" s="28">
        <v>0.35</v>
      </c>
      <c r="L33" s="27">
        <f t="shared" si="4"/>
        <v>779.97307692307697</v>
      </c>
      <c r="M33" s="27">
        <f t="shared" si="1"/>
        <v>1559.9461538461539</v>
      </c>
      <c r="N33" s="27">
        <f t="shared" si="2"/>
        <v>97.496634615384622</v>
      </c>
      <c r="O33" s="29">
        <f t="shared" si="3"/>
        <v>116.99596153846154</v>
      </c>
    </row>
    <row r="34" spans="2:15" ht="20.100000000000001" customHeight="1" x14ac:dyDescent="0.25">
      <c r="B34" s="24" t="s">
        <v>41</v>
      </c>
      <c r="C34" s="30" t="s">
        <v>29</v>
      </c>
      <c r="D34" s="25" t="s">
        <v>9</v>
      </c>
      <c r="E34" s="26">
        <v>25.61</v>
      </c>
      <c r="F34" s="26">
        <v>19.489999999999998</v>
      </c>
      <c r="G34" s="27">
        <f t="shared" si="0"/>
        <v>45.099999999999994</v>
      </c>
      <c r="H34" s="27">
        <v>12.5</v>
      </c>
      <c r="I34" s="1">
        <v>18.75</v>
      </c>
      <c r="J34" s="27">
        <v>7.5</v>
      </c>
      <c r="K34" s="28">
        <v>0.3</v>
      </c>
      <c r="L34" s="27">
        <f t="shared" si="4"/>
        <v>554.17857142857144</v>
      </c>
      <c r="M34" s="27">
        <f t="shared" si="1"/>
        <v>1108.3571428571429</v>
      </c>
      <c r="N34" s="27">
        <f t="shared" si="2"/>
        <v>69.272321428571431</v>
      </c>
      <c r="O34" s="29">
        <f t="shared" si="3"/>
        <v>83.126785714285717</v>
      </c>
    </row>
    <row r="35" spans="2:15" ht="20.100000000000001" customHeight="1" x14ac:dyDescent="0.25">
      <c r="B35" s="24" t="s">
        <v>40</v>
      </c>
      <c r="C35" s="30" t="s">
        <v>29</v>
      </c>
      <c r="D35" s="25" t="s">
        <v>5</v>
      </c>
      <c r="E35" s="31">
        <v>33.6</v>
      </c>
      <c r="F35" s="31">
        <v>26.99</v>
      </c>
      <c r="G35" s="27">
        <f t="shared" ref="G35:G66" si="5">E35+F35</f>
        <v>60.59</v>
      </c>
      <c r="H35" s="27">
        <v>12.5</v>
      </c>
      <c r="I35" s="1">
        <v>18.75</v>
      </c>
      <c r="J35" s="27">
        <v>3</v>
      </c>
      <c r="K35" s="28">
        <v>0.4</v>
      </c>
      <c r="L35" s="27">
        <f t="shared" si="4"/>
        <v>842.11666666666679</v>
      </c>
      <c r="M35" s="27">
        <f t="shared" ref="M35:M66" si="6">L35*2</f>
        <v>1684.2333333333336</v>
      </c>
      <c r="N35" s="27">
        <f t="shared" si="2"/>
        <v>105.26458333333335</v>
      </c>
      <c r="O35" s="29">
        <f t="shared" si="3"/>
        <v>126.31750000000001</v>
      </c>
    </row>
    <row r="36" spans="2:15" ht="20.100000000000001" customHeight="1" x14ac:dyDescent="0.25">
      <c r="B36" s="24" t="s">
        <v>39</v>
      </c>
      <c r="C36" s="30" t="s">
        <v>29</v>
      </c>
      <c r="D36" s="25" t="s">
        <v>5</v>
      </c>
      <c r="E36" s="31">
        <v>33.6</v>
      </c>
      <c r="F36" s="31">
        <v>26.99</v>
      </c>
      <c r="G36" s="27">
        <f t="shared" si="5"/>
        <v>60.59</v>
      </c>
      <c r="H36" s="27">
        <v>12.5</v>
      </c>
      <c r="I36" s="1">
        <v>18.75</v>
      </c>
      <c r="J36" s="27">
        <v>3</v>
      </c>
      <c r="K36" s="28">
        <v>0.4</v>
      </c>
      <c r="L36" s="27">
        <f t="shared" si="4"/>
        <v>842.11666666666679</v>
      </c>
      <c r="M36" s="27">
        <f t="shared" si="6"/>
        <v>1684.2333333333336</v>
      </c>
      <c r="N36" s="27">
        <f t="shared" si="2"/>
        <v>105.26458333333335</v>
      </c>
      <c r="O36" s="29">
        <f t="shared" si="3"/>
        <v>126.31750000000001</v>
      </c>
    </row>
    <row r="37" spans="2:15" ht="20.100000000000001" customHeight="1" x14ac:dyDescent="0.25">
      <c r="B37" s="24" t="s">
        <v>38</v>
      </c>
      <c r="C37" s="30" t="s">
        <v>29</v>
      </c>
      <c r="D37" s="25" t="s">
        <v>5</v>
      </c>
      <c r="E37" s="31">
        <v>33.6</v>
      </c>
      <c r="F37" s="31">
        <v>26.99</v>
      </c>
      <c r="G37" s="27">
        <f t="shared" si="5"/>
        <v>60.59</v>
      </c>
      <c r="H37" s="27">
        <v>12.5</v>
      </c>
      <c r="I37" s="1">
        <v>18.75</v>
      </c>
      <c r="J37" s="27">
        <v>22</v>
      </c>
      <c r="K37" s="28">
        <v>0.4</v>
      </c>
      <c r="L37" s="27">
        <f t="shared" si="4"/>
        <v>861.11666666666679</v>
      </c>
      <c r="M37" s="27">
        <f t="shared" si="6"/>
        <v>1722.2333333333336</v>
      </c>
      <c r="N37" s="27">
        <f t="shared" si="2"/>
        <v>107.63958333333335</v>
      </c>
      <c r="O37" s="29">
        <f t="shared" si="3"/>
        <v>129.16750000000002</v>
      </c>
    </row>
    <row r="38" spans="2:15" ht="20.100000000000001" customHeight="1" x14ac:dyDescent="0.25">
      <c r="B38" s="24" t="s">
        <v>37</v>
      </c>
      <c r="C38" s="30" t="s">
        <v>29</v>
      </c>
      <c r="D38" s="25" t="s">
        <v>9</v>
      </c>
      <c r="E38" s="26">
        <v>25.61</v>
      </c>
      <c r="F38" s="26">
        <v>19.489999999999998</v>
      </c>
      <c r="G38" s="27">
        <f t="shared" si="5"/>
        <v>45.099999999999994</v>
      </c>
      <c r="H38" s="27">
        <v>12.5</v>
      </c>
      <c r="I38" s="1">
        <v>18.75</v>
      </c>
      <c r="J38" s="27">
        <v>7.5</v>
      </c>
      <c r="K38" s="28">
        <v>0.4</v>
      </c>
      <c r="L38" s="27">
        <f t="shared" si="4"/>
        <v>640.08333333333326</v>
      </c>
      <c r="M38" s="27">
        <f t="shared" si="6"/>
        <v>1280.1666666666665</v>
      </c>
      <c r="N38" s="27">
        <f t="shared" si="2"/>
        <v>80.010416666666657</v>
      </c>
      <c r="O38" s="29">
        <f t="shared" si="3"/>
        <v>96.012499999999989</v>
      </c>
    </row>
    <row r="39" spans="2:15" ht="20.100000000000001" customHeight="1" x14ac:dyDescent="0.25">
      <c r="B39" s="24" t="s">
        <v>36</v>
      </c>
      <c r="C39" s="30" t="s">
        <v>29</v>
      </c>
      <c r="D39" s="25" t="s">
        <v>9</v>
      </c>
      <c r="E39" s="26">
        <v>25.61</v>
      </c>
      <c r="F39" s="26">
        <v>19.489999999999998</v>
      </c>
      <c r="G39" s="27">
        <f t="shared" si="5"/>
        <v>45.099999999999994</v>
      </c>
      <c r="H39" s="27">
        <v>12.5</v>
      </c>
      <c r="I39" s="1">
        <v>18.75</v>
      </c>
      <c r="J39" s="27">
        <v>7.5</v>
      </c>
      <c r="K39" s="28">
        <v>0.4</v>
      </c>
      <c r="L39" s="27">
        <f t="shared" si="4"/>
        <v>640.08333333333326</v>
      </c>
      <c r="M39" s="27">
        <f t="shared" si="6"/>
        <v>1280.1666666666665</v>
      </c>
      <c r="N39" s="27">
        <f t="shared" si="2"/>
        <v>80.010416666666657</v>
      </c>
      <c r="O39" s="29">
        <f t="shared" si="3"/>
        <v>96.012499999999989</v>
      </c>
    </row>
    <row r="40" spans="2:15" ht="20.100000000000001" customHeight="1" x14ac:dyDescent="0.25">
      <c r="B40" s="24" t="s">
        <v>35</v>
      </c>
      <c r="C40" s="30" t="s">
        <v>29</v>
      </c>
      <c r="D40" s="25" t="s">
        <v>5</v>
      </c>
      <c r="E40" s="26">
        <v>25.61</v>
      </c>
      <c r="F40" s="26">
        <v>19.489999999999998</v>
      </c>
      <c r="G40" s="27">
        <f t="shared" si="5"/>
        <v>45.099999999999994</v>
      </c>
      <c r="H40" s="27">
        <v>12.5</v>
      </c>
      <c r="I40" s="1">
        <v>18.75</v>
      </c>
      <c r="J40" s="27">
        <v>3</v>
      </c>
      <c r="K40" s="28">
        <v>0.45</v>
      </c>
      <c r="L40" s="27">
        <f t="shared" si="4"/>
        <v>690.24999999999989</v>
      </c>
      <c r="M40" s="27">
        <f t="shared" si="6"/>
        <v>1380.4999999999998</v>
      </c>
      <c r="N40" s="27">
        <f t="shared" si="2"/>
        <v>86.281249999999986</v>
      </c>
      <c r="O40" s="29">
        <f t="shared" si="3"/>
        <v>103.53749999999998</v>
      </c>
    </row>
    <row r="41" spans="2:15" ht="20.100000000000001" customHeight="1" x14ac:dyDescent="0.25">
      <c r="B41" s="24" t="s">
        <v>34</v>
      </c>
      <c r="C41" s="30" t="s">
        <v>29</v>
      </c>
      <c r="D41" s="25" t="s">
        <v>9</v>
      </c>
      <c r="E41" s="26">
        <v>25.61</v>
      </c>
      <c r="F41" s="26">
        <v>19.489999999999998</v>
      </c>
      <c r="G41" s="27">
        <f t="shared" si="5"/>
        <v>45.099999999999994</v>
      </c>
      <c r="H41" s="27">
        <v>12.5</v>
      </c>
      <c r="I41" s="1">
        <v>18.75</v>
      </c>
      <c r="J41" s="27">
        <v>7.5</v>
      </c>
      <c r="K41" s="28">
        <v>0.45</v>
      </c>
      <c r="L41" s="27">
        <f t="shared" si="4"/>
        <v>694.74999999999989</v>
      </c>
      <c r="M41" s="27">
        <f t="shared" si="6"/>
        <v>1389.4999999999998</v>
      </c>
      <c r="N41" s="27">
        <f t="shared" si="2"/>
        <v>86.843749999999986</v>
      </c>
      <c r="O41" s="29">
        <f t="shared" si="3"/>
        <v>104.21249999999998</v>
      </c>
    </row>
    <row r="42" spans="2:15" ht="20.100000000000001" customHeight="1" x14ac:dyDescent="0.25">
      <c r="B42" s="24" t="s">
        <v>33</v>
      </c>
      <c r="C42" s="30" t="s">
        <v>29</v>
      </c>
      <c r="D42" s="25" t="s">
        <v>5</v>
      </c>
      <c r="E42" s="31">
        <v>33.6</v>
      </c>
      <c r="F42" s="31">
        <v>26.99</v>
      </c>
      <c r="G42" s="27">
        <f t="shared" si="5"/>
        <v>60.59</v>
      </c>
      <c r="H42" s="27">
        <v>12.5</v>
      </c>
      <c r="I42" s="1">
        <v>18.75</v>
      </c>
      <c r="J42" s="27">
        <v>3</v>
      </c>
      <c r="K42" s="28">
        <v>0.25</v>
      </c>
      <c r="L42" s="27">
        <f t="shared" si="4"/>
        <v>680.54333333333341</v>
      </c>
      <c r="M42" s="27">
        <f t="shared" si="6"/>
        <v>1361.0866666666668</v>
      </c>
      <c r="N42" s="27">
        <f t="shared" si="2"/>
        <v>85.067916666666676</v>
      </c>
      <c r="O42" s="29">
        <f t="shared" si="3"/>
        <v>102.08150000000001</v>
      </c>
    </row>
    <row r="43" spans="2:15" ht="20.100000000000001" customHeight="1" x14ac:dyDescent="0.25">
      <c r="B43" s="24" t="s">
        <v>32</v>
      </c>
      <c r="C43" s="30" t="s">
        <v>29</v>
      </c>
      <c r="D43" s="25" t="s">
        <v>5</v>
      </c>
      <c r="E43" s="26">
        <v>25.61</v>
      </c>
      <c r="F43" s="26">
        <v>19.489999999999998</v>
      </c>
      <c r="G43" s="27">
        <f t="shared" si="5"/>
        <v>45.099999999999994</v>
      </c>
      <c r="H43" s="27">
        <v>12.5</v>
      </c>
      <c r="I43" s="1">
        <v>18.75</v>
      </c>
      <c r="J43" s="27">
        <v>3</v>
      </c>
      <c r="K43" s="28">
        <v>0.45</v>
      </c>
      <c r="L43" s="27">
        <f t="shared" si="4"/>
        <v>690.24999999999989</v>
      </c>
      <c r="M43" s="27">
        <f t="shared" si="6"/>
        <v>1380.4999999999998</v>
      </c>
      <c r="N43" s="27">
        <f t="shared" si="2"/>
        <v>86.281249999999986</v>
      </c>
      <c r="O43" s="29">
        <f t="shared" si="3"/>
        <v>103.53749999999998</v>
      </c>
    </row>
    <row r="44" spans="2:15" ht="20.100000000000001" customHeight="1" x14ac:dyDescent="0.25">
      <c r="B44" s="24" t="s">
        <v>31</v>
      </c>
      <c r="C44" s="30" t="s">
        <v>29</v>
      </c>
      <c r="D44" s="25" t="s">
        <v>5</v>
      </c>
      <c r="E44" s="31">
        <v>33.6</v>
      </c>
      <c r="F44" s="31">
        <v>26.99</v>
      </c>
      <c r="G44" s="27">
        <f t="shared" si="5"/>
        <v>60.59</v>
      </c>
      <c r="H44" s="27">
        <v>12.5</v>
      </c>
      <c r="I44" s="1">
        <v>18.75</v>
      </c>
      <c r="J44" s="27">
        <v>3</v>
      </c>
      <c r="K44" s="28">
        <v>0.35</v>
      </c>
      <c r="L44" s="27">
        <f t="shared" si="4"/>
        <v>779.97307692307697</v>
      </c>
      <c r="M44" s="27">
        <f t="shared" si="6"/>
        <v>1559.9461538461539</v>
      </c>
      <c r="N44" s="27">
        <f t="shared" si="2"/>
        <v>97.496634615384622</v>
      </c>
      <c r="O44" s="29">
        <f t="shared" si="3"/>
        <v>116.99596153846154</v>
      </c>
    </row>
    <row r="45" spans="2:15" ht="20.100000000000001" customHeight="1" x14ac:dyDescent="0.25">
      <c r="B45" s="24" t="s">
        <v>30</v>
      </c>
      <c r="C45" s="30" t="s">
        <v>29</v>
      </c>
      <c r="D45" s="25" t="s">
        <v>9</v>
      </c>
      <c r="E45" s="26">
        <v>25.61</v>
      </c>
      <c r="F45" s="26">
        <v>19.489999999999998</v>
      </c>
      <c r="G45" s="27">
        <f t="shared" si="5"/>
        <v>45.099999999999994</v>
      </c>
      <c r="H45" s="27">
        <v>12.5</v>
      </c>
      <c r="I45" s="1">
        <v>18.75</v>
      </c>
      <c r="J45" s="27">
        <v>7.5</v>
      </c>
      <c r="K45" s="28">
        <v>0.45</v>
      </c>
      <c r="L45" s="27">
        <f t="shared" si="4"/>
        <v>694.74999999999989</v>
      </c>
      <c r="M45" s="27">
        <f t="shared" si="6"/>
        <v>1389.4999999999998</v>
      </c>
      <c r="N45" s="27">
        <f t="shared" si="2"/>
        <v>86.843749999999986</v>
      </c>
      <c r="O45" s="29">
        <f t="shared" si="3"/>
        <v>104.21249999999998</v>
      </c>
    </row>
    <row r="46" spans="2:15" ht="20.100000000000001" customHeight="1" x14ac:dyDescent="0.25">
      <c r="B46" s="24" t="s">
        <v>28</v>
      </c>
      <c r="C46" s="25" t="s">
        <v>0</v>
      </c>
      <c r="D46" s="25" t="s">
        <v>9</v>
      </c>
      <c r="E46" s="26">
        <v>25.61</v>
      </c>
      <c r="F46" s="26">
        <v>19.489999999999998</v>
      </c>
      <c r="G46" s="27">
        <f t="shared" si="5"/>
        <v>45.099999999999994</v>
      </c>
      <c r="H46" s="27">
        <v>12.5</v>
      </c>
      <c r="I46" s="1">
        <v>18.75</v>
      </c>
      <c r="J46" s="27">
        <v>15</v>
      </c>
      <c r="K46" s="28">
        <v>0.45</v>
      </c>
      <c r="L46" s="27">
        <f t="shared" si="4"/>
        <v>702.24999999999989</v>
      </c>
      <c r="M46" s="27">
        <f t="shared" si="6"/>
        <v>1404.4999999999998</v>
      </c>
      <c r="N46" s="27">
        <f t="shared" si="2"/>
        <v>87.781249999999986</v>
      </c>
      <c r="O46" s="29">
        <f t="shared" si="3"/>
        <v>105.33749999999998</v>
      </c>
    </row>
    <row r="47" spans="2:15" ht="20.100000000000001" customHeight="1" x14ac:dyDescent="0.25">
      <c r="B47" s="24" t="s">
        <v>27</v>
      </c>
      <c r="C47" s="30" t="s">
        <v>0</v>
      </c>
      <c r="D47" s="25" t="s">
        <v>9</v>
      </c>
      <c r="E47" s="26">
        <v>31.95</v>
      </c>
      <c r="F47" s="26">
        <v>26</v>
      </c>
      <c r="G47" s="27">
        <f t="shared" si="5"/>
        <v>57.95</v>
      </c>
      <c r="H47" s="27">
        <v>12.5</v>
      </c>
      <c r="I47" s="1">
        <v>18.75</v>
      </c>
      <c r="J47" s="27">
        <v>15</v>
      </c>
      <c r="K47" s="28">
        <v>0.45</v>
      </c>
      <c r="L47" s="27">
        <f t="shared" si="4"/>
        <v>889.15909090909088</v>
      </c>
      <c r="M47" s="27">
        <f t="shared" si="6"/>
        <v>1778.3181818181818</v>
      </c>
      <c r="N47" s="27">
        <f t="shared" si="2"/>
        <v>111.14488636363636</v>
      </c>
      <c r="O47" s="29">
        <f t="shared" si="3"/>
        <v>133.37386363636364</v>
      </c>
    </row>
    <row r="48" spans="2:15" ht="20.100000000000001" customHeight="1" x14ac:dyDescent="0.25">
      <c r="B48" s="24" t="s">
        <v>26</v>
      </c>
      <c r="C48" s="30" t="s">
        <v>0</v>
      </c>
      <c r="D48" s="25" t="s">
        <v>9</v>
      </c>
      <c r="E48" s="26">
        <v>31.95</v>
      </c>
      <c r="F48" s="26">
        <v>26</v>
      </c>
      <c r="G48" s="27">
        <f t="shared" si="5"/>
        <v>57.95</v>
      </c>
      <c r="H48" s="27">
        <v>12.5</v>
      </c>
      <c r="I48" s="1">
        <v>18.75</v>
      </c>
      <c r="J48" s="27">
        <v>22</v>
      </c>
      <c r="K48" s="28">
        <v>0.45</v>
      </c>
      <c r="L48" s="27">
        <f t="shared" si="4"/>
        <v>896.15909090909088</v>
      </c>
      <c r="M48" s="27">
        <f t="shared" si="6"/>
        <v>1792.3181818181818</v>
      </c>
      <c r="N48" s="27">
        <f t="shared" si="2"/>
        <v>112.01988636363636</v>
      </c>
      <c r="O48" s="29">
        <f t="shared" si="3"/>
        <v>134.42386363636362</v>
      </c>
    </row>
    <row r="49" spans="2:18" ht="20.100000000000001" customHeight="1" x14ac:dyDescent="0.25">
      <c r="B49" s="24" t="s">
        <v>25</v>
      </c>
      <c r="C49" s="30" t="s">
        <v>0</v>
      </c>
      <c r="D49" s="25" t="s">
        <v>5</v>
      </c>
      <c r="E49" s="26">
        <v>25.61</v>
      </c>
      <c r="F49" s="26">
        <v>19.489999999999998</v>
      </c>
      <c r="G49" s="27">
        <f t="shared" si="5"/>
        <v>45.099999999999994</v>
      </c>
      <c r="H49" s="27">
        <v>12.5</v>
      </c>
      <c r="I49" s="1">
        <v>18.75</v>
      </c>
      <c r="J49" s="27">
        <v>5</v>
      </c>
      <c r="K49" s="28">
        <v>0.35</v>
      </c>
      <c r="L49" s="27">
        <f t="shared" si="4"/>
        <v>591.32692307692298</v>
      </c>
      <c r="M49" s="27">
        <f t="shared" si="6"/>
        <v>1182.653846153846</v>
      </c>
      <c r="N49" s="27">
        <f t="shared" si="2"/>
        <v>73.915865384615373</v>
      </c>
      <c r="O49" s="29">
        <f t="shared" si="3"/>
        <v>88.69903846153845</v>
      </c>
    </row>
    <row r="50" spans="2:18" ht="20.100000000000001" customHeight="1" x14ac:dyDescent="0.25">
      <c r="B50" s="24" t="s">
        <v>24</v>
      </c>
      <c r="C50" s="30" t="s">
        <v>0</v>
      </c>
      <c r="D50" s="25" t="s">
        <v>3</v>
      </c>
      <c r="E50" s="26">
        <v>25.61</v>
      </c>
      <c r="F50" s="26">
        <v>19.489999999999998</v>
      </c>
      <c r="G50" s="27">
        <f t="shared" si="5"/>
        <v>45.099999999999994</v>
      </c>
      <c r="H50" s="27">
        <v>12.5</v>
      </c>
      <c r="I50" s="1">
        <v>18.75</v>
      </c>
      <c r="J50" s="27">
        <v>20</v>
      </c>
      <c r="K50" s="28">
        <v>0.45</v>
      </c>
      <c r="L50" s="27">
        <f t="shared" si="4"/>
        <v>882.24999999999989</v>
      </c>
      <c r="M50" s="27">
        <f t="shared" si="6"/>
        <v>1764.4999999999998</v>
      </c>
      <c r="N50" s="27">
        <f t="shared" si="2"/>
        <v>110.28124999999999</v>
      </c>
      <c r="O50" s="29">
        <f t="shared" si="3"/>
        <v>132.33749999999998</v>
      </c>
    </row>
    <row r="51" spans="2:18" ht="20.100000000000001" customHeight="1" x14ac:dyDescent="0.25">
      <c r="B51" s="24" t="s">
        <v>23</v>
      </c>
      <c r="C51" s="30" t="s">
        <v>0</v>
      </c>
      <c r="D51" s="25" t="s">
        <v>9</v>
      </c>
      <c r="E51" s="26">
        <v>25.61</v>
      </c>
      <c r="F51" s="26">
        <v>19.489999999999998</v>
      </c>
      <c r="G51" s="27">
        <f t="shared" si="5"/>
        <v>45.099999999999994</v>
      </c>
      <c r="H51" s="27">
        <v>12.5</v>
      </c>
      <c r="I51" s="1">
        <v>18.75</v>
      </c>
      <c r="J51" s="27">
        <v>15</v>
      </c>
      <c r="K51" s="28">
        <v>0.4</v>
      </c>
      <c r="L51" s="27">
        <f t="shared" si="4"/>
        <v>647.58333333333326</v>
      </c>
      <c r="M51" s="27">
        <f t="shared" si="6"/>
        <v>1295.1666666666665</v>
      </c>
      <c r="N51" s="27">
        <f t="shared" si="2"/>
        <v>80.947916666666657</v>
      </c>
      <c r="O51" s="29">
        <f t="shared" si="3"/>
        <v>97.137499999999989</v>
      </c>
    </row>
    <row r="52" spans="2:18" ht="20.100000000000001" customHeight="1" x14ac:dyDescent="0.25">
      <c r="B52" s="24" t="s">
        <v>22</v>
      </c>
      <c r="C52" s="30" t="s">
        <v>44</v>
      </c>
      <c r="D52" s="25" t="s">
        <v>5</v>
      </c>
      <c r="E52" s="26">
        <v>31.95</v>
      </c>
      <c r="F52" s="26">
        <v>26</v>
      </c>
      <c r="G52" s="27">
        <f t="shared" si="5"/>
        <v>57.95</v>
      </c>
      <c r="H52" s="27">
        <v>12.5</v>
      </c>
      <c r="I52" s="1">
        <v>18.75</v>
      </c>
      <c r="J52" s="27">
        <v>7.5</v>
      </c>
      <c r="K52" s="28">
        <v>0.3</v>
      </c>
      <c r="L52" s="27">
        <f t="shared" si="4"/>
        <v>701.03571428571433</v>
      </c>
      <c r="M52" s="27">
        <f t="shared" si="6"/>
        <v>1402.0714285714287</v>
      </c>
      <c r="N52" s="27">
        <f t="shared" si="2"/>
        <v>87.629464285714292</v>
      </c>
      <c r="O52" s="29">
        <f t="shared" si="3"/>
        <v>105.15535714285714</v>
      </c>
    </row>
    <row r="53" spans="2:18" ht="20.100000000000001" customHeight="1" x14ac:dyDescent="0.25">
      <c r="B53" s="24" t="s">
        <v>21</v>
      </c>
      <c r="C53" s="30" t="s">
        <v>0</v>
      </c>
      <c r="D53" s="25" t="s">
        <v>9</v>
      </c>
      <c r="E53" s="26">
        <v>25.61</v>
      </c>
      <c r="F53" s="26">
        <v>19.489999999999998</v>
      </c>
      <c r="G53" s="27">
        <f t="shared" si="5"/>
        <v>45.099999999999994</v>
      </c>
      <c r="H53" s="27">
        <v>12.5</v>
      </c>
      <c r="I53" s="1">
        <v>18.75</v>
      </c>
      <c r="J53" s="27">
        <v>22</v>
      </c>
      <c r="K53" s="28">
        <v>0.35</v>
      </c>
      <c r="L53" s="27">
        <f t="shared" si="4"/>
        <v>608.32692307692298</v>
      </c>
      <c r="M53" s="27">
        <f t="shared" si="6"/>
        <v>1216.653846153846</v>
      </c>
      <c r="N53" s="27">
        <f t="shared" si="2"/>
        <v>76.040865384615373</v>
      </c>
      <c r="O53" s="29">
        <f t="shared" si="3"/>
        <v>91.249038461538447</v>
      </c>
    </row>
    <row r="54" spans="2:18" ht="20.100000000000001" customHeight="1" x14ac:dyDescent="0.25">
      <c r="B54" s="24" t="s">
        <v>20</v>
      </c>
      <c r="C54" s="30" t="s">
        <v>0</v>
      </c>
      <c r="D54" s="25" t="s">
        <v>3</v>
      </c>
      <c r="E54" s="26">
        <v>25.61</v>
      </c>
      <c r="F54" s="26">
        <v>19.489999999999998</v>
      </c>
      <c r="G54" s="27">
        <f t="shared" si="5"/>
        <v>45.099999999999994</v>
      </c>
      <c r="H54" s="27">
        <v>12.5</v>
      </c>
      <c r="I54" s="1">
        <v>18.75</v>
      </c>
      <c r="J54" s="27">
        <v>20</v>
      </c>
      <c r="K54" s="28">
        <v>0.45</v>
      </c>
      <c r="L54" s="27">
        <f t="shared" si="4"/>
        <v>882.24999999999989</v>
      </c>
      <c r="M54" s="27">
        <f t="shared" si="6"/>
        <v>1764.4999999999998</v>
      </c>
      <c r="N54" s="27">
        <f t="shared" si="2"/>
        <v>110.28124999999999</v>
      </c>
      <c r="O54" s="29">
        <f t="shared" si="3"/>
        <v>132.33749999999998</v>
      </c>
    </row>
    <row r="55" spans="2:18" ht="20.100000000000001" customHeight="1" x14ac:dyDescent="0.25">
      <c r="B55" s="24" t="s">
        <v>19</v>
      </c>
      <c r="C55" s="30" t="s">
        <v>0</v>
      </c>
      <c r="D55" s="25" t="s">
        <v>9</v>
      </c>
      <c r="E55" s="26">
        <v>25.61</v>
      </c>
      <c r="F55" s="26">
        <v>19.489999999999998</v>
      </c>
      <c r="G55" s="27">
        <f t="shared" si="5"/>
        <v>45.099999999999994</v>
      </c>
      <c r="H55" s="27">
        <v>12.5</v>
      </c>
      <c r="I55" s="1">
        <v>18.75</v>
      </c>
      <c r="J55" s="27">
        <v>15</v>
      </c>
      <c r="K55" s="28">
        <v>0.4</v>
      </c>
      <c r="L55" s="27">
        <f t="shared" si="4"/>
        <v>647.58333333333326</v>
      </c>
      <c r="M55" s="27">
        <f t="shared" si="6"/>
        <v>1295.1666666666665</v>
      </c>
      <c r="N55" s="27">
        <f t="shared" si="2"/>
        <v>80.947916666666657</v>
      </c>
      <c r="O55" s="29">
        <f t="shared" si="3"/>
        <v>97.137499999999989</v>
      </c>
    </row>
    <row r="56" spans="2:18" ht="20.100000000000001" customHeight="1" x14ac:dyDescent="0.25">
      <c r="B56" s="24" t="s">
        <v>18</v>
      </c>
      <c r="C56" s="30" t="s">
        <v>0</v>
      </c>
      <c r="D56" s="25" t="s">
        <v>9</v>
      </c>
      <c r="E56" s="26">
        <v>25.61</v>
      </c>
      <c r="F56" s="26">
        <v>19.489999999999998</v>
      </c>
      <c r="G56" s="27">
        <f t="shared" si="5"/>
        <v>45.099999999999994</v>
      </c>
      <c r="H56" s="27">
        <v>12.5</v>
      </c>
      <c r="I56" s="1">
        <v>18.75</v>
      </c>
      <c r="J56" s="27">
        <v>7.5</v>
      </c>
      <c r="K56" s="28">
        <v>0.4</v>
      </c>
      <c r="L56" s="27">
        <f t="shared" si="4"/>
        <v>640.08333333333326</v>
      </c>
      <c r="M56" s="27">
        <f t="shared" si="6"/>
        <v>1280.1666666666665</v>
      </c>
      <c r="N56" s="27">
        <f t="shared" si="2"/>
        <v>80.010416666666657</v>
      </c>
      <c r="O56" s="29">
        <f t="shared" si="3"/>
        <v>96.012499999999989</v>
      </c>
      <c r="R56" s="45"/>
    </row>
    <row r="57" spans="2:18" ht="20.100000000000001" customHeight="1" x14ac:dyDescent="0.25">
      <c r="B57" s="24" t="s">
        <v>17</v>
      </c>
      <c r="C57" s="30" t="s">
        <v>0</v>
      </c>
      <c r="D57" s="25" t="s">
        <v>9</v>
      </c>
      <c r="E57" s="26">
        <v>31.95</v>
      </c>
      <c r="F57" s="26">
        <v>26</v>
      </c>
      <c r="G57" s="27">
        <f t="shared" si="5"/>
        <v>57.95</v>
      </c>
      <c r="H57" s="27">
        <v>12.5</v>
      </c>
      <c r="I57" s="1">
        <v>18.75</v>
      </c>
      <c r="J57" s="27">
        <v>7.5</v>
      </c>
      <c r="K57" s="28">
        <v>0.35</v>
      </c>
      <c r="L57" s="27">
        <f t="shared" si="4"/>
        <v>751.98076923076928</v>
      </c>
      <c r="M57" s="27">
        <f t="shared" si="6"/>
        <v>1503.9615384615386</v>
      </c>
      <c r="N57" s="27">
        <f t="shared" si="2"/>
        <v>93.99759615384616</v>
      </c>
      <c r="O57" s="29">
        <f t="shared" si="3"/>
        <v>112.7971153846154</v>
      </c>
    </row>
    <row r="58" spans="2:18" ht="20.100000000000001" customHeight="1" x14ac:dyDescent="0.25">
      <c r="B58" s="24" t="s">
        <v>16</v>
      </c>
      <c r="C58" s="30" t="s">
        <v>0</v>
      </c>
      <c r="D58" s="25" t="s">
        <v>5</v>
      </c>
      <c r="E58" s="26">
        <v>25.61</v>
      </c>
      <c r="F58" s="26">
        <v>19.489999999999998</v>
      </c>
      <c r="G58" s="27">
        <f t="shared" si="5"/>
        <v>45.099999999999994</v>
      </c>
      <c r="H58" s="27">
        <v>12.5</v>
      </c>
      <c r="I58" s="1">
        <v>18.75</v>
      </c>
      <c r="J58" s="27">
        <v>3</v>
      </c>
      <c r="K58" s="28">
        <v>0.32</v>
      </c>
      <c r="L58" s="27">
        <f t="shared" si="4"/>
        <v>564.83823529411768</v>
      </c>
      <c r="M58" s="27">
        <f t="shared" si="6"/>
        <v>1129.6764705882354</v>
      </c>
      <c r="N58" s="27">
        <f t="shared" si="2"/>
        <v>70.60477941176471</v>
      </c>
      <c r="O58" s="29">
        <f t="shared" si="3"/>
        <v>84.725735294117655</v>
      </c>
    </row>
    <row r="59" spans="2:18" ht="20.100000000000001" customHeight="1" x14ac:dyDescent="0.25">
      <c r="B59" s="24" t="s">
        <v>15</v>
      </c>
      <c r="C59" s="30" t="s">
        <v>0</v>
      </c>
      <c r="D59" s="25" t="s">
        <v>5</v>
      </c>
      <c r="E59" s="26">
        <v>25.61</v>
      </c>
      <c r="F59" s="26">
        <v>19.489999999999998</v>
      </c>
      <c r="G59" s="27">
        <f t="shared" si="5"/>
        <v>45.099999999999994</v>
      </c>
      <c r="H59" s="27">
        <v>12.5</v>
      </c>
      <c r="I59" s="1">
        <v>18.75</v>
      </c>
      <c r="J59" s="27">
        <v>3</v>
      </c>
      <c r="K59" s="28">
        <v>0.32</v>
      </c>
      <c r="L59" s="27">
        <f t="shared" si="4"/>
        <v>564.83823529411768</v>
      </c>
      <c r="M59" s="27">
        <f t="shared" si="6"/>
        <v>1129.6764705882354</v>
      </c>
      <c r="N59" s="27">
        <f t="shared" si="2"/>
        <v>70.60477941176471</v>
      </c>
      <c r="O59" s="29">
        <f t="shared" si="3"/>
        <v>84.725735294117655</v>
      </c>
    </row>
    <row r="60" spans="2:18" ht="20.100000000000001" customHeight="1" x14ac:dyDescent="0.25">
      <c r="B60" s="24" t="s">
        <v>14</v>
      </c>
      <c r="C60" s="30" t="s">
        <v>0</v>
      </c>
      <c r="D60" s="25" t="s">
        <v>3</v>
      </c>
      <c r="E60" s="26">
        <v>25.61</v>
      </c>
      <c r="F60" s="26">
        <v>19.489999999999998</v>
      </c>
      <c r="G60" s="27">
        <f t="shared" si="5"/>
        <v>45.099999999999994</v>
      </c>
      <c r="H60" s="27">
        <v>12.5</v>
      </c>
      <c r="I60" s="1">
        <v>18.75</v>
      </c>
      <c r="J60" s="27">
        <v>20</v>
      </c>
      <c r="K60" s="28">
        <v>0.45</v>
      </c>
      <c r="L60" s="27">
        <f t="shared" si="4"/>
        <v>882.24999999999989</v>
      </c>
      <c r="M60" s="27">
        <f t="shared" si="6"/>
        <v>1764.4999999999998</v>
      </c>
      <c r="N60" s="27">
        <f t="shared" si="2"/>
        <v>110.28124999999999</v>
      </c>
      <c r="O60" s="29">
        <f t="shared" si="3"/>
        <v>132.33749999999998</v>
      </c>
    </row>
    <row r="61" spans="2:18" ht="20.100000000000001" customHeight="1" x14ac:dyDescent="0.25">
      <c r="B61" s="24" t="s">
        <v>13</v>
      </c>
      <c r="C61" s="30" t="s">
        <v>0</v>
      </c>
      <c r="D61" s="25" t="s">
        <v>3</v>
      </c>
      <c r="E61" s="26">
        <v>25.61</v>
      </c>
      <c r="F61" s="26">
        <v>19.489999999999998</v>
      </c>
      <c r="G61" s="27">
        <f t="shared" si="5"/>
        <v>45.099999999999994</v>
      </c>
      <c r="H61" s="27">
        <v>12.5</v>
      </c>
      <c r="I61" s="1">
        <v>18.75</v>
      </c>
      <c r="J61" s="27">
        <v>20</v>
      </c>
      <c r="K61" s="28">
        <v>0.45</v>
      </c>
      <c r="L61" s="27">
        <f t="shared" si="4"/>
        <v>882.24999999999989</v>
      </c>
      <c r="M61" s="27">
        <f t="shared" si="6"/>
        <v>1764.4999999999998</v>
      </c>
      <c r="N61" s="27">
        <f t="shared" si="2"/>
        <v>110.28124999999999</v>
      </c>
      <c r="O61" s="29">
        <f t="shared" si="3"/>
        <v>132.33749999999998</v>
      </c>
    </row>
    <row r="62" spans="2:18" ht="20.100000000000001" customHeight="1" x14ac:dyDescent="0.25">
      <c r="B62" s="24" t="s">
        <v>12</v>
      </c>
      <c r="C62" s="30" t="s">
        <v>0</v>
      </c>
      <c r="D62" s="25" t="s">
        <v>3</v>
      </c>
      <c r="E62" s="26">
        <v>31.95</v>
      </c>
      <c r="F62" s="26">
        <v>26</v>
      </c>
      <c r="G62" s="27">
        <f t="shared" si="5"/>
        <v>57.95</v>
      </c>
      <c r="H62" s="27">
        <v>12.5</v>
      </c>
      <c r="I62" s="1">
        <v>18.75</v>
      </c>
      <c r="J62" s="27">
        <v>20</v>
      </c>
      <c r="K62" s="28">
        <v>0.45</v>
      </c>
      <c r="L62" s="27">
        <f t="shared" si="4"/>
        <v>1069.159090909091</v>
      </c>
      <c r="M62" s="27">
        <f t="shared" si="6"/>
        <v>2138.318181818182</v>
      </c>
      <c r="N62" s="27">
        <f t="shared" si="2"/>
        <v>133.64488636363637</v>
      </c>
      <c r="O62" s="29">
        <f t="shared" si="3"/>
        <v>160.37386363636364</v>
      </c>
    </row>
    <row r="63" spans="2:18" ht="20.100000000000001" customHeight="1" x14ac:dyDescent="0.25">
      <c r="B63" s="24" t="s">
        <v>11</v>
      </c>
      <c r="C63" s="30" t="s">
        <v>0</v>
      </c>
      <c r="D63" s="25" t="s">
        <v>5</v>
      </c>
      <c r="E63" s="26">
        <v>25.61</v>
      </c>
      <c r="F63" s="26">
        <v>19.489999999999998</v>
      </c>
      <c r="G63" s="27">
        <f t="shared" si="5"/>
        <v>45.099999999999994</v>
      </c>
      <c r="H63" s="27">
        <v>12.5</v>
      </c>
      <c r="I63" s="1">
        <v>18.75</v>
      </c>
      <c r="J63" s="27">
        <v>3</v>
      </c>
      <c r="K63" s="28">
        <v>0.45</v>
      </c>
      <c r="L63" s="27">
        <f t="shared" si="4"/>
        <v>690.24999999999989</v>
      </c>
      <c r="M63" s="27">
        <f t="shared" si="6"/>
        <v>1380.4999999999998</v>
      </c>
      <c r="N63" s="27">
        <f t="shared" si="2"/>
        <v>86.281249999999986</v>
      </c>
      <c r="O63" s="29">
        <f t="shared" si="3"/>
        <v>103.53749999999998</v>
      </c>
    </row>
    <row r="64" spans="2:18" ht="20.100000000000001" customHeight="1" x14ac:dyDescent="0.25">
      <c r="B64" s="24" t="s">
        <v>10</v>
      </c>
      <c r="C64" s="30" t="s">
        <v>0</v>
      </c>
      <c r="D64" s="25" t="s">
        <v>9</v>
      </c>
      <c r="E64" s="26">
        <v>25.61</v>
      </c>
      <c r="F64" s="26">
        <v>19.489999999999998</v>
      </c>
      <c r="G64" s="27">
        <f t="shared" si="5"/>
        <v>45.099999999999994</v>
      </c>
      <c r="H64" s="27">
        <v>12.5</v>
      </c>
      <c r="I64" s="1">
        <v>18.75</v>
      </c>
      <c r="J64" s="27">
        <v>7.5</v>
      </c>
      <c r="K64" s="28">
        <v>0.4</v>
      </c>
      <c r="L64" s="27">
        <f t="shared" si="4"/>
        <v>640.08333333333326</v>
      </c>
      <c r="M64" s="27">
        <f t="shared" si="6"/>
        <v>1280.1666666666665</v>
      </c>
      <c r="N64" s="27">
        <f t="shared" si="2"/>
        <v>80.010416666666657</v>
      </c>
      <c r="O64" s="29">
        <f t="shared" si="3"/>
        <v>96.012499999999989</v>
      </c>
    </row>
    <row r="65" spans="2:15" ht="20.100000000000001" customHeight="1" x14ac:dyDescent="0.25">
      <c r="B65" s="24" t="s">
        <v>8</v>
      </c>
      <c r="C65" s="30" t="s">
        <v>0</v>
      </c>
      <c r="D65" s="25" t="s">
        <v>3</v>
      </c>
      <c r="E65" s="26">
        <v>25.61</v>
      </c>
      <c r="F65" s="26">
        <v>19.489999999999998</v>
      </c>
      <c r="G65" s="27">
        <f t="shared" si="5"/>
        <v>45.099999999999994</v>
      </c>
      <c r="H65" s="27">
        <v>12.5</v>
      </c>
      <c r="I65" s="1">
        <v>18.75</v>
      </c>
      <c r="J65" s="27">
        <v>20</v>
      </c>
      <c r="K65" s="28">
        <v>0.45</v>
      </c>
      <c r="L65" s="27">
        <f t="shared" si="4"/>
        <v>882.24999999999989</v>
      </c>
      <c r="M65" s="27">
        <f t="shared" si="6"/>
        <v>1764.4999999999998</v>
      </c>
      <c r="N65" s="27">
        <f t="shared" si="2"/>
        <v>110.28124999999999</v>
      </c>
      <c r="O65" s="29">
        <f t="shared" si="3"/>
        <v>132.33749999999998</v>
      </c>
    </row>
    <row r="66" spans="2:15" ht="20.100000000000001" customHeight="1" x14ac:dyDescent="0.25">
      <c r="B66" s="24" t="s">
        <v>7</v>
      </c>
      <c r="C66" s="30" t="s">
        <v>0</v>
      </c>
      <c r="D66" s="25" t="s">
        <v>3</v>
      </c>
      <c r="E66" s="26">
        <v>25.61</v>
      </c>
      <c r="F66" s="26">
        <v>19.489999999999998</v>
      </c>
      <c r="G66" s="27">
        <f t="shared" si="5"/>
        <v>45.099999999999994</v>
      </c>
      <c r="H66" s="27">
        <v>12.5</v>
      </c>
      <c r="I66" s="1">
        <v>18.75</v>
      </c>
      <c r="J66" s="27">
        <v>20</v>
      </c>
      <c r="K66" s="28">
        <v>0.45</v>
      </c>
      <c r="L66" s="27">
        <f t="shared" si="4"/>
        <v>882.24999999999989</v>
      </c>
      <c r="M66" s="27">
        <f t="shared" si="6"/>
        <v>1764.4999999999998</v>
      </c>
      <c r="N66" s="27">
        <f t="shared" si="2"/>
        <v>110.28124999999999</v>
      </c>
      <c r="O66" s="29">
        <f t="shared" si="3"/>
        <v>132.33749999999998</v>
      </c>
    </row>
    <row r="67" spans="2:15" ht="20.100000000000001" customHeight="1" x14ac:dyDescent="0.25">
      <c r="B67" s="24" t="s">
        <v>6</v>
      </c>
      <c r="C67" s="30" t="s">
        <v>0</v>
      </c>
      <c r="D67" s="25" t="s">
        <v>5</v>
      </c>
      <c r="E67" s="26">
        <v>25.61</v>
      </c>
      <c r="F67" s="26">
        <v>19.489999999999998</v>
      </c>
      <c r="G67" s="27">
        <f t="shared" ref="G67:G70" si="7">E67+F67</f>
        <v>45.099999999999994</v>
      </c>
      <c r="H67" s="27">
        <v>12.5</v>
      </c>
      <c r="I67" s="1">
        <v>18.75</v>
      </c>
      <c r="J67" s="27">
        <v>3</v>
      </c>
      <c r="K67" s="28">
        <v>0.4</v>
      </c>
      <c r="L67" s="27">
        <f t="shared" si="4"/>
        <v>635.58333333333326</v>
      </c>
      <c r="M67" s="27">
        <f t="shared" ref="M67:M70" si="8">L67*2</f>
        <v>1271.1666666666665</v>
      </c>
      <c r="N67" s="27">
        <f t="shared" ref="N67:N70" si="9">L67/8</f>
        <v>79.447916666666657</v>
      </c>
      <c r="O67" s="29">
        <f t="shared" si="3"/>
        <v>95.337499999999991</v>
      </c>
    </row>
    <row r="68" spans="2:15" ht="20.100000000000001" customHeight="1" x14ac:dyDescent="0.25">
      <c r="B68" s="24" t="s">
        <v>4</v>
      </c>
      <c r="C68" s="25" t="s">
        <v>0</v>
      </c>
      <c r="D68" s="25" t="s">
        <v>3</v>
      </c>
      <c r="E68" s="26">
        <v>25.61</v>
      </c>
      <c r="F68" s="26">
        <v>19.489999999999998</v>
      </c>
      <c r="G68" s="27">
        <f t="shared" si="7"/>
        <v>45.099999999999994</v>
      </c>
      <c r="H68" s="27">
        <v>12.5</v>
      </c>
      <c r="I68" s="1">
        <v>18.75</v>
      </c>
      <c r="J68" s="27">
        <v>20</v>
      </c>
      <c r="K68" s="28">
        <v>0.45</v>
      </c>
      <c r="L68" s="27">
        <f t="shared" si="4"/>
        <v>882.24999999999989</v>
      </c>
      <c r="M68" s="27">
        <f t="shared" si="8"/>
        <v>1764.4999999999998</v>
      </c>
      <c r="N68" s="27">
        <f t="shared" si="9"/>
        <v>110.28124999999999</v>
      </c>
      <c r="O68" s="29">
        <f t="shared" ref="O68:O70" si="10">+N68*1.2</f>
        <v>132.33749999999998</v>
      </c>
    </row>
    <row r="69" spans="2:15" ht="20.100000000000001" customHeight="1" x14ac:dyDescent="0.25">
      <c r="B69" s="24" t="s">
        <v>2</v>
      </c>
      <c r="C69" s="25" t="s">
        <v>0</v>
      </c>
      <c r="D69" s="25" t="s">
        <v>9</v>
      </c>
      <c r="E69" s="26">
        <v>25.61</v>
      </c>
      <c r="F69" s="26">
        <v>19.489999999999998</v>
      </c>
      <c r="G69" s="27">
        <f t="shared" si="7"/>
        <v>45.099999999999994</v>
      </c>
      <c r="H69" s="27">
        <v>12.5</v>
      </c>
      <c r="I69" s="1">
        <v>18.75</v>
      </c>
      <c r="J69" s="27">
        <v>15</v>
      </c>
      <c r="K69" s="28">
        <v>0.4</v>
      </c>
      <c r="L69" s="27">
        <f t="shared" ref="L69:L70" si="11">IF(D69="mobilization",(G69*8)/(1-K69)+SUM(H69:J69)+175,(G69*8)/(1-K69)+SUM(H69:J69))</f>
        <v>647.58333333333326</v>
      </c>
      <c r="M69" s="27">
        <f t="shared" si="8"/>
        <v>1295.1666666666665</v>
      </c>
      <c r="N69" s="27">
        <f t="shared" si="9"/>
        <v>80.947916666666657</v>
      </c>
      <c r="O69" s="29">
        <f t="shared" si="10"/>
        <v>97.137499999999989</v>
      </c>
    </row>
    <row r="70" spans="2:15" ht="20.100000000000001" customHeight="1" thickBot="1" x14ac:dyDescent="0.3">
      <c r="B70" s="32" t="s">
        <v>1</v>
      </c>
      <c r="C70" s="33" t="s">
        <v>0</v>
      </c>
      <c r="D70" s="33" t="s">
        <v>9</v>
      </c>
      <c r="E70" s="34">
        <v>25.61</v>
      </c>
      <c r="F70" s="34">
        <v>19.489999999999998</v>
      </c>
      <c r="G70" s="35">
        <f t="shared" si="7"/>
        <v>45.099999999999994</v>
      </c>
      <c r="H70" s="27">
        <v>12.5</v>
      </c>
      <c r="I70" s="1">
        <v>18.75</v>
      </c>
      <c r="J70" s="35">
        <v>15</v>
      </c>
      <c r="K70" s="28">
        <v>0.4</v>
      </c>
      <c r="L70" s="35">
        <f t="shared" si="11"/>
        <v>647.58333333333326</v>
      </c>
      <c r="M70" s="35">
        <f t="shared" si="8"/>
        <v>1295.1666666666665</v>
      </c>
      <c r="N70" s="35">
        <f t="shared" si="9"/>
        <v>80.947916666666657</v>
      </c>
      <c r="O70" s="29">
        <f t="shared" si="10"/>
        <v>97.137499999999989</v>
      </c>
    </row>
    <row r="71" spans="2:15" ht="16.5" customHeight="1" thickTop="1" x14ac:dyDescent="0.25"/>
    <row r="72" spans="2:15" ht="16.5" customHeight="1" x14ac:dyDescent="0.25"/>
    <row r="73" spans="2:15" ht="16.5" customHeight="1" x14ac:dyDescent="0.25"/>
    <row r="74" spans="2:15" ht="16.5" customHeight="1" x14ac:dyDescent="0.25"/>
    <row r="75" spans="2:15" ht="16.5" customHeight="1" x14ac:dyDescent="0.25"/>
    <row r="76" spans="2:15" ht="16.5" customHeight="1" x14ac:dyDescent="0.25"/>
    <row r="77" spans="2:15" ht="16.5" customHeight="1" x14ac:dyDescent="0.25"/>
    <row r="78" spans="2:15" ht="16.5" customHeight="1" x14ac:dyDescent="0.25"/>
    <row r="79" spans="2:15" ht="16.5" customHeight="1" x14ac:dyDescent="0.25"/>
    <row r="80" spans="2:15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  <row r="1001" ht="16.5" customHeight="1" x14ac:dyDescent="0.25"/>
  </sheetData>
  <autoFilter ref="B2:O70" xr:uid="{2C0F4905-A313-46FD-B4A7-F913D5CC9B31}"/>
  <mergeCells count="4">
    <mergeCell ref="K1:O1"/>
    <mergeCell ref="E1:G1"/>
    <mergeCell ref="B1:D1"/>
    <mergeCell ref="H1:J1"/>
  </mergeCells>
  <pageMargins left="0.7" right="0.7" top="0.75" bottom="0.75" header="0" footer="0"/>
  <pageSetup scale="60" fitToHeight="0" orientation="landscape" r:id="rId1"/>
  <rowBreaks count="1" manualBreakCount="1">
    <brk id="41" min="1" max="1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ETC NON-RATED PRICE LIST</vt:lpstr>
      <vt:lpstr>ETC RATED FLAGGING PRICE LIST</vt:lpstr>
      <vt:lpstr>'ETC NON-RATED PRICE LIST'!Print_Area</vt:lpstr>
      <vt:lpstr>'ETC RATED FLAGGING PRICE LIST'!Print_Area</vt:lpstr>
      <vt:lpstr>'ETC NON-RATED PRICE LIST'!Print_Titles</vt:lpstr>
      <vt:lpstr>'ETC RATED FLAGGING PRICE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Napoleon Dunn</dc:creator>
  <cp:lastModifiedBy>Napoleon Dunn</cp:lastModifiedBy>
  <cp:lastPrinted>2025-04-01T13:49:03Z</cp:lastPrinted>
  <dcterms:created xsi:type="dcterms:W3CDTF">2025-03-09T16:40:27Z</dcterms:created>
  <dcterms:modified xsi:type="dcterms:W3CDTF">2025-04-24T22:30:46Z</dcterms:modified>
</cp:coreProperties>
</file>